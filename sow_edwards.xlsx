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Wildfires/"/>
    </mc:Choice>
  </mc:AlternateContent>
  <xr:revisionPtr revIDLastSave="0" documentId="13_ncr:1_{41A791B5-AFCB-D640-87A3-F96DC8C96E9A}" xr6:coauthVersionLast="47" xr6:coauthVersionMax="47" xr10:uidLastSave="{00000000-0000-0000-0000-000000000000}"/>
  <bookViews>
    <workbookView xWindow="5840" yWindow="2640" windowWidth="25580" windowHeight="19580" tabRatio="500" xr2:uid="{00000000-000D-0000-FFFF-FFFF00000000}"/>
  </bookViews>
  <sheets>
    <sheet name="Wildfires" sheetId="10" r:id="rId1"/>
    <sheet name="-Disclaimer-" sheetId="2" r:id="rId2"/>
  </sheets>
  <definedNames>
    <definedName name="_xlnm.Print_Area" localSheetId="0">Wildfires!$B$1:$I$39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10" i="10" l="1"/>
  <c r="H11" i="10"/>
  <c r="H9" i="10"/>
  <c r="H26" i="10" l="1"/>
  <c r="H37" i="10" l="1"/>
  <c r="H36" i="10"/>
  <c r="F8" i="10"/>
  <c r="G8" i="10"/>
  <c r="H12" i="10"/>
  <c r="H13" i="10"/>
  <c r="H18" i="10"/>
  <c r="H19" i="10"/>
  <c r="G27" i="10" l="1"/>
  <c r="F27" i="10"/>
  <c r="H27" i="10" s="1"/>
  <c r="G14" i="10"/>
  <c r="F14" i="10"/>
  <c r="F20" i="10"/>
  <c r="G20" i="10"/>
  <c r="H5" i="10"/>
  <c r="H14" i="10" l="1"/>
  <c r="H20" i="10"/>
  <c r="H8" i="10"/>
</calcChain>
</file>

<file path=xl/sharedStrings.xml><?xml version="1.0" encoding="utf-8"?>
<sst xmlns="http://schemas.openxmlformats.org/spreadsheetml/2006/main" count="107" uniqueCount="77">
  <si>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</si>
  <si>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</si>
  <si>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</si>
  <si>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</si>
  <si>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</si>
  <si>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</si>
  <si>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</si>
  <si>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</si>
  <si>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</si>
  <si>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</si>
  <si>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</si>
  <si>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</si>
  <si>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</si>
  <si>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</si>
  <si>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</si>
  <si>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</si>
  <si>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</si>
  <si>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Wildfires Statement of Work</t>
  </si>
  <si>
    <t>Degree Works</t>
  </si>
  <si>
    <t>Project Development Team</t>
  </si>
  <si>
    <t>Brandon (SWE), Darion (Designer), Kelly (Tester), Qadir (Lead)</t>
  </si>
  <si>
    <t>Brandon</t>
  </si>
  <si>
    <t>Darion</t>
  </si>
  <si>
    <t>Kelly</t>
  </si>
  <si>
    <t>Qadir</t>
  </si>
  <si>
    <t>SHA 1976f86, eaeaa3b, 2515e23</t>
  </si>
  <si>
    <t>SHA 1d4e8e2</t>
  </si>
  <si>
    <t>Create Professor class and use it in the driver</t>
  </si>
  <si>
    <t>Agile board (user stories and use cases)</t>
  </si>
  <si>
    <t>product backlog</t>
  </si>
  <si>
    <t>Edit Student class to implement Professor class #13</t>
  </si>
  <si>
    <t>SHA 
c7b31a2</t>
  </si>
  <si>
    <t xml:space="preserve">(Create a advisor Class) User Story # was removed from backlog </t>
  </si>
  <si>
    <t>SHA 3a281f3</t>
  </si>
  <si>
    <t>#12 (Create a Login Class)</t>
  </si>
  <si>
    <t>#2 Create Student class and used it in the driver User Story</t>
  </si>
  <si>
    <t>edit main</t>
  </si>
  <si>
    <t>Advisor (_ensure_gpa, student_below_gpa, build_alert, scan_students, print_alerts) and calls in main</t>
  </si>
  <si>
    <r>
      <t xml:space="preserve">SHA </t>
    </r>
    <r>
      <rPr>
        <sz val="10"/>
        <color rgb="FFFF0000"/>
        <rFont val="Century Gothic"/>
        <family val="1"/>
      </rPr>
      <t>4d1fdcb</t>
    </r>
    <r>
      <rPr>
        <sz val="10"/>
        <color rgb="FF000000"/>
        <rFont val="Century Gothic"/>
        <family val="1"/>
      </rPr>
      <t xml:space="preserve">, SHA 11c53fe , SHA f4d3084, SHA a407ee6, SHA 849d6af, SHA 60387d4 </t>
    </r>
  </si>
  <si>
    <t>Role
User
LoginManager (__init__)
_hash_password, _check_password, add_user, authenticate, get_role, is_advisor, is_teacher, is_student, list_users
updated driver</t>
  </si>
  <si>
    <t>backup doc, Professor (__init__, enter_midterm_grade, enter_final_grade, view_transcript), edit driver</t>
  </si>
  <si>
    <r>
      <t>SHA baf6ba7,</t>
    </r>
    <r>
      <rPr>
        <sz val="10"/>
        <color rgb="FFFF0000"/>
        <rFont val="Century Gothic"/>
        <family val="1"/>
      </rPr>
      <t>eb73790</t>
    </r>
    <r>
      <rPr>
        <sz val="10"/>
        <color theme="1"/>
        <rFont val="Century Gothic"/>
        <family val="1"/>
      </rPr>
      <t xml:space="preserve">, 88caab8, </t>
    </r>
    <r>
      <rPr>
        <sz val="10"/>
        <color rgb="FFFF0000"/>
        <rFont val="Century Gothic"/>
        <family val="1"/>
      </rPr>
      <t>bf38652</t>
    </r>
    <r>
      <rPr>
        <sz val="10"/>
        <color theme="1"/>
        <rFont val="Century Gothic"/>
        <family val="1"/>
      </rPr>
      <t xml:space="preserve">, 75c5089, </t>
    </r>
    <r>
      <rPr>
        <sz val="10"/>
        <color theme="8"/>
        <rFont val="Century Gothic"/>
        <family val="1"/>
      </rPr>
      <t>8b4132b</t>
    </r>
  </si>
  <si>
    <t>updated docs</t>
  </si>
  <si>
    <t>See Row 29.  check. Updated docs</t>
  </si>
  <si>
    <r>
      <t xml:space="preserve">SHA </t>
    </r>
    <r>
      <rPr>
        <sz val="10"/>
        <color rgb="FFFF0000"/>
        <rFont val="Century Gothic"/>
        <family val="1"/>
      </rPr>
      <t>baf6ba7, eb73790, 88caab8, 6cacf03</t>
    </r>
    <r>
      <rPr>
        <sz val="10"/>
        <color theme="1"/>
        <rFont val="Century Gothic"/>
        <family val="1"/>
      </rPr>
      <t xml:space="preserve">, 9b242c9, </t>
    </r>
    <r>
      <rPr>
        <sz val="10"/>
        <color rgb="FFFF0000"/>
        <rFont val="Century Gothic"/>
        <family val="1"/>
      </rPr>
      <t>7011e4d</t>
    </r>
    <r>
      <rPr>
        <sz val="10"/>
        <color theme="1"/>
        <rFont val="Century Gothic"/>
        <family val="1"/>
      </rPr>
      <t xml:space="preserve">, 
c7b31a2, </t>
    </r>
    <r>
      <rPr>
        <sz val="10"/>
        <color rgb="FFFF0000"/>
        <rFont val="Century Gothic"/>
        <family val="1"/>
      </rPr>
      <t>b22706a</t>
    </r>
    <r>
      <rPr>
        <sz val="10"/>
        <color theme="1"/>
        <rFont val="Century Gothic"/>
        <family val="1"/>
      </rPr>
      <t xml:space="preserve">
</t>
    </r>
  </si>
  <si>
    <r>
      <t xml:space="preserve">SHA </t>
    </r>
    <r>
      <rPr>
        <sz val="10"/>
        <color rgb="FFFF0000"/>
        <rFont val="Century Gothic"/>
        <family val="1"/>
      </rPr>
      <t>baf6ba7, eb73790, 88caab8, bf38652, 75c508, 8b4132b,</t>
    </r>
    <r>
      <rPr>
        <sz val="10"/>
        <color theme="1"/>
        <rFont val="Century Gothic"/>
        <family val="1"/>
      </rPr>
      <t xml:space="preserve"> 95c95f0, 4121080</t>
    </r>
  </si>
  <si>
    <t>See Row 29. Student (set_midterm_grade, set_final)grade, get_transcript) and calls</t>
  </si>
  <si>
    <t xml:space="preserve">#10, Create UML </t>
  </si>
  <si>
    <t>820976f51aeb807bc836e7e73169fb80f5ba7adc</t>
  </si>
  <si>
    <t>#13, Create Degree Works mockup site</t>
  </si>
  <si>
    <t>6b66d002d6964dba411f342de04163c4d858237b</t>
  </si>
  <si>
    <t>Added SDD doc</t>
  </si>
  <si>
    <t>SHA e81500d</t>
  </si>
  <si>
    <t>SHA 420bfd3</t>
  </si>
  <si>
    <t>Added transcript class</t>
  </si>
  <si>
    <t>Check on the group access to repo</t>
  </si>
  <si>
    <t>SHA b45d2d7</t>
  </si>
  <si>
    <t>Update final release and add CLI instructions</t>
  </si>
  <si>
    <t>SHA 26b549c</t>
  </si>
  <si>
    <t>Merge teammate branches</t>
  </si>
  <si>
    <t>Degree_Works_mockup.png, Transcript_upload-mockup.png</t>
  </si>
  <si>
    <t>UML_class_diagram.png</t>
  </si>
  <si>
    <t>README</t>
  </si>
  <si>
    <t>Update README with prioritized projects</t>
  </si>
  <si>
    <t>more edits of README</t>
  </si>
  <si>
    <r>
      <t xml:space="preserve">SHA 1976f86, </t>
    </r>
    <r>
      <rPr>
        <sz val="10"/>
        <color rgb="FFFF0000"/>
        <rFont val="Century Gothic"/>
        <family val="1"/>
      </rPr>
      <t>eaeaa3b</t>
    </r>
  </si>
  <si>
    <t>Revise project list and descriptions in README, Added Trello Link to README</t>
  </si>
  <si>
    <t>SDD</t>
  </si>
  <si>
    <t>.gitignore</t>
  </si>
  <si>
    <r>
      <t xml:space="preserve">Added .gitignore, </t>
    </r>
    <r>
      <rPr>
        <sz val="11"/>
        <color theme="8"/>
        <rFont val="Century Gothic"/>
        <family val="1"/>
      </rPr>
      <t>driver.py</t>
    </r>
  </si>
  <si>
    <r>
      <t xml:space="preserve">SHA </t>
    </r>
    <r>
      <rPr>
        <sz val="10"/>
        <color rgb="FFFF0000"/>
        <rFont val="Century Gothic"/>
        <family val="1"/>
      </rPr>
      <t>007c65a</t>
    </r>
  </si>
  <si>
    <t>more edits of SDD</t>
  </si>
  <si>
    <t>Transcript (__init__, display, calculate_gpa)</t>
  </si>
  <si>
    <t>display_classes_taken</t>
  </si>
  <si>
    <r>
      <t xml:space="preserve">SHA 58da2e2, 4e2d96d, </t>
    </r>
    <r>
      <rPr>
        <sz val="10"/>
        <color rgb="FFFF0000"/>
        <rFont val="Century Gothic"/>
        <family val="1"/>
      </rPr>
      <t>0dc5b11</t>
    </r>
    <r>
      <rPr>
        <sz val="10"/>
        <color theme="1"/>
        <rFont val="Century Gothic"/>
        <family val="1"/>
      </rPr>
      <t xml:space="preserve">, </t>
    </r>
    <r>
      <rPr>
        <sz val="10"/>
        <color rgb="FFFF0000"/>
        <rFont val="Century Gothic"/>
        <family val="1"/>
      </rPr>
      <t>1aff78a</t>
    </r>
    <r>
      <rPr>
        <sz val="10"/>
        <color theme="1"/>
        <rFont val="Century Gothic"/>
        <family val="1"/>
      </rPr>
      <t xml:space="preserve">, </t>
    </r>
    <r>
      <rPr>
        <sz val="10"/>
        <color rgb="FFFF0000"/>
        <rFont val="Century Gothic"/>
        <family val="1"/>
      </rPr>
      <t>f1cd8ba</t>
    </r>
    <r>
      <rPr>
        <sz val="10"/>
        <color theme="1"/>
        <rFont val="Century Gothic"/>
        <family val="1"/>
      </rPr>
      <t>, 836f9df</t>
    </r>
  </si>
  <si>
    <t>more edits of SDD, called Student methods, see Row 10, see Row 11, see Row 15, check</t>
  </si>
  <si>
    <t>Darion, did you only create pictures and leave the project development to everyone else?  This is fine if the project works exactly as your UML shows.  Does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</si>
</sst>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1"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0"/>
      <color theme="8"/>
      <name val="Century Gothic"/>
      <family val="1"/>
    </font>
    <font>
      <sz val="10"/>
      <name val="Century Gothic"/>
      <family val="1"/>
    </font>
    <font>
      <sz val="11"/>
      <color theme="8"/>
      <name val="Century Gothic"/>
      <family val="1"/>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rgb="FFEAEEF3"/>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75">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5"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0" borderId="9" xfId="0" applyNumberFormat="1" applyFont="1" applyFill="1" applyBorder="1" applyAlignment="1">
      <alignment horizontal="left" vertical="center" wrapText="1" indent="1"/>
    </xf>
    <xf numFmtId="0" fontId="13" fillId="2" borderId="0" xfId="0" applyFont="1" applyFill="1" applyAlignment="1">
      <alignment vertical="center"/>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9" borderId="7" xfId="0" applyFont="1" applyFill="1" applyBorder="1" applyAlignment="1">
      <alignment horizontal="right" vertical="center" wrapText="1" indent="1"/>
    </xf>
    <xf numFmtId="0" fontId="11" fillId="9"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1" borderId="0" xfId="0" applyFont="1" applyFill="1" applyAlignment="1">
      <alignment horizontal="left" vertical="center" wrapText="1"/>
    </xf>
    <xf numFmtId="1" fontId="4" fillId="12" borderId="1" xfId="0" applyNumberFormat="1" applyFont="1" applyFill="1" applyBorder="1" applyAlignment="1">
      <alignment horizontal="right" vertical="center" wrapText="1" indent="1"/>
    </xf>
    <xf numFmtId="1" fontId="4" fillId="13"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7" borderId="4" xfId="0" applyFont="1" applyFill="1" applyBorder="1" applyAlignment="1">
      <alignment horizontal="left" vertical="center" wrapText="1" indent="1"/>
    </xf>
    <xf numFmtId="0" fontId="15" fillId="7" borderId="4" xfId="0" applyFont="1" applyFill="1" applyBorder="1" applyAlignment="1">
      <alignment horizontal="left" vertical="center" wrapText="1" indent="1" readingOrder="1"/>
    </xf>
    <xf numFmtId="164" fontId="16"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10" fillId="7" borderId="4" xfId="0" applyFont="1" applyFill="1" applyBorder="1" applyAlignment="1">
      <alignment horizontal="left" vertical="center" wrapText="1" indent="1"/>
    </xf>
    <xf numFmtId="0" fontId="10" fillId="0" borderId="0" xfId="0" applyFont="1" applyAlignment="1">
      <alignment horizontal="left" vertical="center" wrapText="1"/>
    </xf>
    <xf numFmtId="0" fontId="14" fillId="6"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readingOrder="1"/>
    </xf>
    <xf numFmtId="164" fontId="14" fillId="6" borderId="4" xfId="0" applyNumberFormat="1" applyFont="1" applyFill="1" applyBorder="1" applyAlignment="1">
      <alignment horizontal="left" vertical="center" wrapText="1" indent="1"/>
    </xf>
    <xf numFmtId="164" fontId="14" fillId="6" borderId="4" xfId="0" applyNumberFormat="1" applyFont="1" applyFill="1" applyBorder="1" applyAlignment="1">
      <alignment horizontal="right" vertical="center" wrapText="1" indent="1" readingOrder="1"/>
    </xf>
    <xf numFmtId="164" fontId="14" fillId="6" borderId="4" xfId="0" applyNumberFormat="1" applyFont="1" applyFill="1" applyBorder="1" applyAlignment="1">
      <alignment horizontal="right" vertical="center" wrapText="1" indent="1"/>
    </xf>
    <xf numFmtId="0" fontId="6" fillId="6" borderId="4" xfId="0" applyFont="1" applyFill="1" applyBorder="1" applyAlignment="1">
      <alignment horizontal="left" vertical="center" wrapText="1" indent="1"/>
    </xf>
    <xf numFmtId="0" fontId="14" fillId="5" borderId="4" xfId="0" applyFont="1" applyFill="1" applyBorder="1" applyAlignment="1">
      <alignment horizontal="left" vertical="center" wrapText="1" indent="1"/>
    </xf>
    <xf numFmtId="0" fontId="14" fillId="5" borderId="0" xfId="0" applyFont="1" applyFill="1" applyAlignment="1">
      <alignment horizontal="left" vertical="center" indent="1"/>
    </xf>
    <xf numFmtId="164" fontId="14" fillId="5" borderId="4" xfId="0" applyNumberFormat="1" applyFont="1" applyFill="1" applyBorder="1" applyAlignment="1">
      <alignment horizontal="right" vertical="center" wrapText="1" indent="1"/>
    </xf>
    <xf numFmtId="164" fontId="14" fillId="5" borderId="8" xfId="0" applyNumberFormat="1" applyFont="1" applyFill="1" applyBorder="1" applyAlignment="1">
      <alignment horizontal="right" vertical="center" wrapText="1" indent="1"/>
    </xf>
    <xf numFmtId="1" fontId="14" fillId="5" borderId="4" xfId="0" applyNumberFormat="1" applyFont="1" applyFill="1" applyBorder="1" applyAlignment="1">
      <alignment horizontal="right" vertical="center" wrapText="1" indent="1"/>
    </xf>
    <xf numFmtId="0" fontId="14" fillId="8" borderId="4" xfId="0" applyFont="1" applyFill="1" applyBorder="1" applyAlignment="1">
      <alignment horizontal="left" vertical="center" wrapText="1" indent="1"/>
    </xf>
    <xf numFmtId="0" fontId="14" fillId="8" borderId="4" xfId="0" applyFont="1" applyFill="1" applyBorder="1" applyAlignment="1">
      <alignment horizontal="left" vertical="center" wrapText="1" indent="1" readingOrder="1"/>
    </xf>
    <xf numFmtId="164" fontId="14"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6" fillId="8" borderId="4" xfId="0" applyFont="1" applyFill="1" applyBorder="1" applyAlignment="1">
      <alignment horizontal="left" vertical="center" wrapText="1" indent="1"/>
    </xf>
    <xf numFmtId="0" fontId="14" fillId="14" borderId="4" xfId="0" applyFont="1" applyFill="1" applyBorder="1" applyAlignment="1">
      <alignment horizontal="right" vertical="center" wrapText="1" indent="1"/>
    </xf>
    <xf numFmtId="0" fontId="14" fillId="7" borderId="4" xfId="0" applyFont="1" applyFill="1" applyBorder="1" applyAlignment="1">
      <alignment horizontal="right" vertical="center" wrapText="1" indent="1"/>
    </xf>
    <xf numFmtId="1" fontId="14" fillId="6"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4" fillId="16" borderId="3" xfId="0" applyFont="1" applyFill="1" applyBorder="1" applyAlignment="1">
      <alignment horizontal="right" vertical="center" wrapText="1" indent="1"/>
    </xf>
    <xf numFmtId="164" fontId="19" fillId="2" borderId="1" xfId="0" applyNumberFormat="1" applyFont="1" applyFill="1" applyBorder="1" applyAlignment="1">
      <alignment horizontal="lef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A2D072"/>
      <color rgb="FF007134"/>
      <color rgb="FFEAEEF3"/>
      <color rgb="FFB3E481"/>
      <color rgb="FFD1EEFF"/>
      <color rgb="FF001033"/>
      <color rgb="FF03C15A"/>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Wildfires!$F$7</c:f>
              <c:strCache>
                <c:ptCount val="1"/>
                <c:pt idx="0">
                  <c:v>Start Date</c:v>
                </c:pt>
              </c:strCache>
            </c:strRef>
          </c:tx>
          <c:spPr>
            <a:noFill/>
            <a:ln>
              <a:noFill/>
            </a:ln>
            <a:effectLst/>
          </c:spPr>
          <c:invertIfNegative val="0"/>
          <c:cat>
            <c:strRef>
              <c:f>Wildfires!$C$8:$C$37</c:f>
              <c:strCache>
                <c:ptCount val="30"/>
                <c:pt idx="0">
                  <c:v>Brandon</c:v>
                </c:pt>
                <c:pt idx="1">
                  <c:v>#2 Create Student class and used it in the driver User Story</c:v>
                </c:pt>
                <c:pt idx="2">
                  <c:v>(Create a advisor Class) User Story # was removed from backlog </c:v>
                </c:pt>
                <c:pt idx="3">
                  <c:v>#12 (Create a Login Class)</c:v>
                </c:pt>
                <c:pt idx="4">
                  <c:v>Evaluate Dr. Edwards via Class Climate </c:v>
                </c:pt>
                <c:pt idx="5">
                  <c:v>Evaluate team using Brightspace survey</c:v>
                </c:pt>
                <c:pt idx="6">
                  <c:v>Darion</c:v>
                </c:pt>
                <c:pt idx="7">
                  <c:v>#10, Create UML </c:v>
                </c:pt>
                <c:pt idx="8">
                  <c:v>#13, Create Degree Works mockup site</c:v>
                </c:pt>
                <c:pt idx="10">
                  <c:v>Evaluate Dr. Edwards via Class Climate </c:v>
                </c:pt>
                <c:pt idx="11">
                  <c:v>Evaluate team using Brightspace survey</c:v>
                </c:pt>
                <c:pt idx="12">
                  <c:v>Kelly</c:v>
                </c:pt>
                <c:pt idx="13">
                  <c:v>Create Professor class and use it in the driver</c:v>
                </c:pt>
                <c:pt idx="14">
                  <c:v>Agile board (user stories and use cases)</c:v>
                </c:pt>
                <c:pt idx="15">
                  <c:v>product backlog</c:v>
                </c:pt>
                <c:pt idx="16">
                  <c:v>Edit Student class to implement Professor class #13</c:v>
                </c:pt>
                <c:pt idx="17">
                  <c:v>Evaluate Dr. Edwards via Class Climate </c:v>
                </c:pt>
                <c:pt idx="18">
                  <c:v>Evaluate team using Brightspace survey</c:v>
                </c:pt>
                <c:pt idx="19">
                  <c:v>Qadir</c:v>
                </c:pt>
                <c:pt idx="20">
                  <c:v>Update README with prioritized projects</c:v>
                </c:pt>
                <c:pt idx="21">
                  <c:v>Revise project list and descriptions in README, Added Trello Link to README</c:v>
                </c:pt>
                <c:pt idx="22">
                  <c:v>Added SDD doc</c:v>
                </c:pt>
                <c:pt idx="23">
                  <c:v>Added .gitignore, driver.py</c:v>
                </c:pt>
                <c:pt idx="24">
                  <c:v>Added transcript class</c:v>
                </c:pt>
                <c:pt idx="25">
                  <c:v>Check on the group access to repo</c:v>
                </c:pt>
                <c:pt idx="26">
                  <c:v>Update final release and add CLI instructions</c:v>
                </c:pt>
                <c:pt idx="27">
                  <c:v>Merge teammate branches</c:v>
                </c:pt>
                <c:pt idx="28">
                  <c:v>Evaluate Dr. Edwards via Class Climate </c:v>
                </c:pt>
                <c:pt idx="29">
                  <c:v>Evaluate team using Brightspace survey</c:v>
                </c:pt>
              </c:strCache>
            </c:strRef>
          </c:cat>
          <c:val>
            <c:numRef>
              <c:f>Wildfires!$F$8:$F$37</c:f>
              <c:numCache>
                <c:formatCode>m/d;@</c:formatCode>
                <c:ptCount val="30"/>
                <c:pt idx="0">
                  <c:v>45978</c:v>
                </c:pt>
                <c:pt idx="1">
                  <c:v>45978</c:v>
                </c:pt>
                <c:pt idx="2">
                  <c:v>45978</c:v>
                </c:pt>
                <c:pt idx="3">
                  <c:v>45985</c:v>
                </c:pt>
                <c:pt idx="4">
                  <c:v>45983</c:v>
                </c:pt>
                <c:pt idx="5">
                  <c:v>45992</c:v>
                </c:pt>
                <c:pt idx="6">
                  <c:v>45983</c:v>
                </c:pt>
                <c:pt idx="7">
                  <c:v>45983</c:v>
                </c:pt>
                <c:pt idx="8">
                  <c:v>45989</c:v>
                </c:pt>
                <c:pt idx="10">
                  <c:v>45983</c:v>
                </c:pt>
                <c:pt idx="11">
                  <c:v>45992</c:v>
                </c:pt>
                <c:pt idx="12">
                  <c:v>45983</c:v>
                </c:pt>
                <c:pt idx="13">
                  <c:v>45992</c:v>
                </c:pt>
                <c:pt idx="14">
                  <c:v>45992</c:v>
                </c:pt>
                <c:pt idx="15">
                  <c:v>45992</c:v>
                </c:pt>
                <c:pt idx="16">
                  <c:v>45992</c:v>
                </c:pt>
                <c:pt idx="17">
                  <c:v>45983</c:v>
                </c:pt>
                <c:pt idx="18">
                  <c:v>45992</c:v>
                </c:pt>
                <c:pt idx="19">
                  <c:v>45973</c:v>
                </c:pt>
                <c:pt idx="20">
                  <c:v>45973</c:v>
                </c:pt>
                <c:pt idx="21">
                  <c:v>45973</c:v>
                </c:pt>
                <c:pt idx="22">
                  <c:v>45973</c:v>
                </c:pt>
                <c:pt idx="23">
                  <c:v>45974</c:v>
                </c:pt>
                <c:pt idx="24">
                  <c:v>45974</c:v>
                </c:pt>
                <c:pt idx="25">
                  <c:v>45977</c:v>
                </c:pt>
                <c:pt idx="26">
                  <c:v>45992</c:v>
                </c:pt>
                <c:pt idx="27">
                  <c:v>45976</c:v>
                </c:pt>
                <c:pt idx="28">
                  <c:v>45983</c:v>
                </c:pt>
                <c:pt idx="29">
                  <c:v>45992</c:v>
                </c:pt>
              </c:numCache>
            </c:numRef>
          </c:val>
          <c:extLst>
            <c:ext xmlns:c16="http://schemas.microsoft.com/office/drawing/2014/chart" uri="{C3380CC4-5D6E-409C-BE32-E72D297353CC}">
              <c16:uniqueId val="{00000000-8C3B-6B4E-8271-047982C56358}"/>
            </c:ext>
          </c:extLst>
        </c:ser>
        <c:ser>
          <c:idx val="1"/>
          <c:order val="1"/>
          <c:tx>
            <c:strRef>
              <c:f>Wildfires!$H$7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7134">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A2D072">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A2D072">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chemeClr val="accent4">
                  <a:alpha val="79000"/>
                </a:scheme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chemeClr val="accent4">
                  <a:alpha val="79000"/>
                </a:scheme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chemeClr val="accent4">
                  <a:alpha val="79000"/>
                </a:scheme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chemeClr val="accent4">
                  <a:alpha val="79000"/>
                </a:scheme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chemeClr val="accent4">
                  <a:alpha val="79000"/>
                </a:scheme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chemeClr val="accent4">
                  <a:alpha val="79000"/>
                </a:scheme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chemeClr val="tx1">
                  <a:alpha val="79000"/>
                </a:scheme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chemeClr val="accent3">
                  <a:lumMod val="75000"/>
                  <a:alpha val="79000"/>
                </a:scheme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chemeClr val="accent3">
                  <a:lumMod val="75000"/>
                  <a:alpha val="79000"/>
                </a:scheme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Wildfires!$C$8:$C$37</c:f>
              <c:strCache>
                <c:ptCount val="30"/>
                <c:pt idx="0">
                  <c:v>Brandon</c:v>
                </c:pt>
                <c:pt idx="1">
                  <c:v>#2 Create Student class and used it in the driver User Story</c:v>
                </c:pt>
                <c:pt idx="2">
                  <c:v>(Create a advisor Class) User Story # was removed from backlog </c:v>
                </c:pt>
                <c:pt idx="3">
                  <c:v>#12 (Create a Login Class)</c:v>
                </c:pt>
                <c:pt idx="4">
                  <c:v>Evaluate Dr. Edwards via Class Climate </c:v>
                </c:pt>
                <c:pt idx="5">
                  <c:v>Evaluate team using Brightspace survey</c:v>
                </c:pt>
                <c:pt idx="6">
                  <c:v>Darion</c:v>
                </c:pt>
                <c:pt idx="7">
                  <c:v>#10, Create UML </c:v>
                </c:pt>
                <c:pt idx="8">
                  <c:v>#13, Create Degree Works mockup site</c:v>
                </c:pt>
                <c:pt idx="10">
                  <c:v>Evaluate Dr. Edwards via Class Climate </c:v>
                </c:pt>
                <c:pt idx="11">
                  <c:v>Evaluate team using Brightspace survey</c:v>
                </c:pt>
                <c:pt idx="12">
                  <c:v>Kelly</c:v>
                </c:pt>
                <c:pt idx="13">
                  <c:v>Create Professor class and use it in the driver</c:v>
                </c:pt>
                <c:pt idx="14">
                  <c:v>Agile board (user stories and use cases)</c:v>
                </c:pt>
                <c:pt idx="15">
                  <c:v>product backlog</c:v>
                </c:pt>
                <c:pt idx="16">
                  <c:v>Edit Student class to implement Professor class #13</c:v>
                </c:pt>
                <c:pt idx="17">
                  <c:v>Evaluate Dr. Edwards via Class Climate </c:v>
                </c:pt>
                <c:pt idx="18">
                  <c:v>Evaluate team using Brightspace survey</c:v>
                </c:pt>
                <c:pt idx="19">
                  <c:v>Qadir</c:v>
                </c:pt>
                <c:pt idx="20">
                  <c:v>Update README with prioritized projects</c:v>
                </c:pt>
                <c:pt idx="21">
                  <c:v>Revise project list and descriptions in README, Added Trello Link to README</c:v>
                </c:pt>
                <c:pt idx="22">
                  <c:v>Added SDD doc</c:v>
                </c:pt>
                <c:pt idx="23">
                  <c:v>Added .gitignore, driver.py</c:v>
                </c:pt>
                <c:pt idx="24">
                  <c:v>Added transcript class</c:v>
                </c:pt>
                <c:pt idx="25">
                  <c:v>Check on the group access to repo</c:v>
                </c:pt>
                <c:pt idx="26">
                  <c:v>Update final release and add CLI instructions</c:v>
                </c:pt>
                <c:pt idx="27">
                  <c:v>Merge teammate branches</c:v>
                </c:pt>
                <c:pt idx="28">
                  <c:v>Evaluate Dr. Edwards via Class Climate </c:v>
                </c:pt>
                <c:pt idx="29">
                  <c:v>Evaluate team using Brightspace survey</c:v>
                </c:pt>
              </c:strCache>
            </c:strRef>
          </c:cat>
          <c:val>
            <c:numRef>
              <c:f>Wildfires!$H$8:$H$37</c:f>
              <c:numCache>
                <c:formatCode>0</c:formatCode>
                <c:ptCount val="30"/>
                <c:pt idx="0">
                  <c:v>22</c:v>
                </c:pt>
                <c:pt idx="1">
                  <c:v>1</c:v>
                </c:pt>
                <c:pt idx="2">
                  <c:v>2</c:v>
                </c:pt>
                <c:pt idx="3">
                  <c:v>1</c:v>
                </c:pt>
                <c:pt idx="4">
                  <c:v>17</c:v>
                </c:pt>
                <c:pt idx="5">
                  <c:v>1</c:v>
                </c:pt>
                <c:pt idx="6">
                  <c:v>17</c:v>
                </c:pt>
                <c:pt idx="10">
                  <c:v>17</c:v>
                </c:pt>
                <c:pt idx="11">
                  <c:v>1</c:v>
                </c:pt>
                <c:pt idx="12" formatCode="General">
                  <c:v>17</c:v>
                </c:pt>
                <c:pt idx="13">
                  <c:v>1</c:v>
                </c:pt>
                <c:pt idx="14">
                  <c:v>1</c:v>
                </c:pt>
                <c:pt idx="15">
                  <c:v>1</c:v>
                </c:pt>
                <c:pt idx="16">
                  <c:v>1</c:v>
                </c:pt>
                <c:pt idx="17">
                  <c:v>1</c:v>
                </c:pt>
                <c:pt idx="18">
                  <c:v>1</c:v>
                </c:pt>
                <c:pt idx="19" formatCode="General">
                  <c:v>27</c:v>
                </c:pt>
                <c:pt idx="20">
                  <c:v>1</c:v>
                </c:pt>
                <c:pt idx="21">
                  <c:v>1</c:v>
                </c:pt>
                <c:pt idx="22">
                  <c:v>1</c:v>
                </c:pt>
                <c:pt idx="23">
                  <c:v>1</c:v>
                </c:pt>
                <c:pt idx="24">
                  <c:v>2</c:v>
                </c:pt>
                <c:pt idx="25">
                  <c:v>2</c:v>
                </c:pt>
                <c:pt idx="26">
                  <c:v>1</c:v>
                </c:pt>
                <c:pt idx="27">
                  <c:v>18</c:v>
                </c:pt>
                <c:pt idx="28">
                  <c:v>17</c:v>
                </c:pt>
                <c:pt idx="29" formatCode="General">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37</xdr:row>
      <xdr:rowOff>114300</xdr:rowOff>
    </xdr:from>
    <xdr:to>
      <xdr:col>8</xdr:col>
      <xdr:colOff>3860800</xdr:colOff>
      <xdr:row>39</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115455</xdr:colOff>
      <xdr:row>19</xdr:row>
      <xdr:rowOff>282222</xdr:rowOff>
    </xdr:from>
    <xdr:to>
      <xdr:col>15</xdr:col>
      <xdr:colOff>158686</xdr:colOff>
      <xdr:row>23</xdr:row>
      <xdr:rowOff>374200</xdr:rowOff>
    </xdr:to>
    <xdr:pic>
      <xdr:nvPicPr>
        <xdr:cNvPr id="3" name="Picture 2">
          <a:extLst>
            <a:ext uri="{FF2B5EF4-FFF2-40B4-BE49-F238E27FC236}">
              <a16:creationId xmlns:a16="http://schemas.microsoft.com/office/drawing/2014/main" id="{2FDCFB09-B62D-8ADD-BF55-C3686AC9F1CB}"/>
            </a:ext>
          </a:extLst>
        </xdr:cNvPr>
        <xdr:cNvPicPr>
          <a:picLocks noChangeAspect="1"/>
        </xdr:cNvPicPr>
      </xdr:nvPicPr>
      <xdr:blipFill>
        <a:blip xmlns:r="http://schemas.openxmlformats.org/officeDocument/2006/relationships" r:embed="rId2"/>
        <a:stretch>
          <a:fillRect/>
        </a:stretch>
      </xdr:blipFill>
      <xdr:spPr>
        <a:xfrm>
          <a:off x="17407980" y="9236363"/>
          <a:ext cx="4610100" cy="2324100"/>
        </a:xfrm>
        <a:prstGeom prst="rect">
          <a:avLst/>
        </a:prstGeom>
      </xdr:spPr>
    </xdr:pic>
    <xdr:clientData/>
  </xdr:twoCellAnchor>
  <xdr:twoCellAnchor editAs="oneCell">
    <xdr:from>
      <xdr:col>9</xdr:col>
      <xdr:colOff>179596</xdr:colOff>
      <xdr:row>8</xdr:row>
      <xdr:rowOff>0</xdr:rowOff>
    </xdr:from>
    <xdr:to>
      <xdr:col>15</xdr:col>
      <xdr:colOff>159327</xdr:colOff>
      <xdr:row>10</xdr:row>
      <xdr:rowOff>1400464</xdr:rowOff>
    </xdr:to>
    <xdr:pic>
      <xdr:nvPicPr>
        <xdr:cNvPr id="4" name="Picture 3">
          <a:extLst>
            <a:ext uri="{FF2B5EF4-FFF2-40B4-BE49-F238E27FC236}">
              <a16:creationId xmlns:a16="http://schemas.microsoft.com/office/drawing/2014/main" id="{B91EEBD4-A3A5-AACE-3538-95E28E17AC11}"/>
            </a:ext>
          </a:extLst>
        </xdr:cNvPr>
        <xdr:cNvPicPr>
          <a:picLocks noChangeAspect="1"/>
        </xdr:cNvPicPr>
      </xdr:nvPicPr>
      <xdr:blipFill>
        <a:blip xmlns:r="http://schemas.openxmlformats.org/officeDocument/2006/relationships" r:embed="rId3"/>
        <a:stretch>
          <a:fillRect/>
        </a:stretch>
      </xdr:blipFill>
      <xdr:spPr>
        <a:xfrm>
          <a:off x="17472121" y="2886364"/>
          <a:ext cx="4546600" cy="2324100"/>
        </a:xfrm>
        <a:prstGeom prst="rect">
          <a:avLst/>
        </a:prstGeom>
      </xdr:spPr>
    </xdr:pic>
    <xdr:clientData/>
  </xdr:twoCellAnchor>
  <xdr:twoCellAnchor editAs="oneCell">
    <xdr:from>
      <xdr:col>9</xdr:col>
      <xdr:colOff>89798</xdr:colOff>
      <xdr:row>27</xdr:row>
      <xdr:rowOff>0</xdr:rowOff>
    </xdr:from>
    <xdr:to>
      <xdr:col>15</xdr:col>
      <xdr:colOff>82229</xdr:colOff>
      <xdr:row>34</xdr:row>
      <xdr:rowOff>27965</xdr:rowOff>
    </xdr:to>
    <xdr:pic>
      <xdr:nvPicPr>
        <xdr:cNvPr id="5" name="Picture 4">
          <a:extLst>
            <a:ext uri="{FF2B5EF4-FFF2-40B4-BE49-F238E27FC236}">
              <a16:creationId xmlns:a16="http://schemas.microsoft.com/office/drawing/2014/main" id="{4E287ADC-2075-B5E5-6F12-B70C63FF67C7}"/>
            </a:ext>
          </a:extLst>
        </xdr:cNvPr>
        <xdr:cNvPicPr>
          <a:picLocks noChangeAspect="1"/>
        </xdr:cNvPicPr>
      </xdr:nvPicPr>
      <xdr:blipFill>
        <a:blip xmlns:r="http://schemas.openxmlformats.org/officeDocument/2006/relationships" r:embed="rId4"/>
        <a:stretch>
          <a:fillRect/>
        </a:stretch>
      </xdr:blipFill>
      <xdr:spPr>
        <a:xfrm>
          <a:off x="17382323" y="12853939"/>
          <a:ext cx="4559300" cy="2311400"/>
        </a:xfrm>
        <a:prstGeom prst="rect">
          <a:avLst/>
        </a:prstGeom>
      </xdr:spPr>
    </xdr:pic>
    <xdr:clientData/>
  </xdr:twoCellAnchor>
  <xdr:twoCellAnchor editAs="oneCell">
    <xdr:from>
      <xdr:col>9</xdr:col>
      <xdr:colOff>128284</xdr:colOff>
      <xdr:row>14</xdr:row>
      <xdr:rowOff>51313</xdr:rowOff>
    </xdr:from>
    <xdr:to>
      <xdr:col>19</xdr:col>
      <xdr:colOff>114301</xdr:colOff>
      <xdr:row>18</xdr:row>
      <xdr:rowOff>288123</xdr:rowOff>
    </xdr:to>
    <xdr:pic>
      <xdr:nvPicPr>
        <xdr:cNvPr id="6" name="Picture 5">
          <a:extLst>
            <a:ext uri="{FF2B5EF4-FFF2-40B4-BE49-F238E27FC236}">
              <a16:creationId xmlns:a16="http://schemas.microsoft.com/office/drawing/2014/main" id="{D4BC09E0-E21D-F330-1A5E-F42741C3540F}"/>
            </a:ext>
          </a:extLst>
        </xdr:cNvPr>
        <xdr:cNvPicPr>
          <a:picLocks noChangeAspect="1"/>
        </xdr:cNvPicPr>
      </xdr:nvPicPr>
      <xdr:blipFill>
        <a:blip xmlns:r="http://schemas.openxmlformats.org/officeDocument/2006/relationships" r:embed="rId5"/>
        <a:stretch>
          <a:fillRect/>
        </a:stretch>
      </xdr:blipFill>
      <xdr:spPr>
        <a:xfrm>
          <a:off x="17420809" y="6965757"/>
          <a:ext cx="7734300" cy="1955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083"/>
  <sheetViews>
    <sheetView showGridLines="0" tabSelected="1" zoomScale="99" zoomScaleNormal="99" workbookViewId="0">
      <pane ySplit="1" topLeftCell="A2" activePane="bottomLeft" state="frozen"/>
      <selection pane="bottomLeft" activeCell="F46" sqref="F46"/>
    </sheetView>
  </sheetViews>
  <sheetFormatPr baseColWidth="10" defaultColWidth="11" defaultRowHeight="13" outlineLevelRow="1" x14ac:dyDescent="0.15"/>
  <cols>
    <col min="1" max="1" width="3.33203125" style="6" customWidth="1"/>
    <col min="2" max="2" width="32.6640625" style="6" customWidth="1"/>
    <col min="3" max="3" width="57" style="6" bestFit="1" customWidth="1"/>
    <col min="4" max="4" width="12.83203125" style="6" customWidth="1"/>
    <col min="5" max="5" width="22.33203125" style="6" bestFit="1" customWidth="1"/>
    <col min="6" max="6" width="12.6640625" style="35" customWidth="1"/>
    <col min="7" max="7" width="11.83203125" style="35" customWidth="1"/>
    <col min="8" max="8" width="10.6640625" style="6" customWidth="1"/>
    <col min="9" max="9" width="63.6640625" style="6" customWidth="1"/>
    <col min="10" max="10" width="3.33203125" style="6" customWidth="1"/>
    <col min="11" max="11" width="12.83203125" style="6" customWidth="1"/>
    <col min="12" max="17" width="11" style="6"/>
    <col min="18" max="18" width="9" style="6" customWidth="1"/>
    <col min="19" max="22" width="11" style="6"/>
    <col min="23" max="23" width="51.83203125" style="6" customWidth="1"/>
    <col min="24" max="16384" width="11" style="6"/>
  </cols>
  <sheetData>
    <row r="1" spans="1:258" ht="57" customHeight="1" x14ac:dyDescent="0.2">
      <c r="A1" s="1"/>
      <c r="B1" s="27" t="s">
        <v>17</v>
      </c>
      <c r="D1"/>
      <c r="E1"/>
      <c r="F1" s="30"/>
      <c r="G1" s="30"/>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8" customFormat="1" ht="18" customHeight="1" x14ac:dyDescent="0.2">
      <c r="A2" s="17"/>
      <c r="B2" s="17"/>
      <c r="C2" s="17" t="s">
        <v>5</v>
      </c>
      <c r="D2" s="17"/>
      <c r="E2" s="17" t="s">
        <v>7</v>
      </c>
      <c r="F2" s="31"/>
      <c r="G2" s="31"/>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row>
    <row r="3" spans="1:258" ht="30" customHeight="1" thickBot="1" x14ac:dyDescent="0.2">
      <c r="A3" s="1"/>
      <c r="B3" s="1"/>
      <c r="C3" s="19" t="s">
        <v>18</v>
      </c>
      <c r="D3" s="1"/>
      <c r="E3" s="25">
        <v>45970</v>
      </c>
      <c r="F3" s="32"/>
      <c r="G3" s="32"/>
      <c r="H3" s="1"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8" customFormat="1" ht="18" customHeight="1" thickBot="1" x14ac:dyDescent="0.25">
      <c r="A4" s="17"/>
      <c r="B4" s="17"/>
      <c r="C4" s="20" t="s">
        <v>19</v>
      </c>
      <c r="D4" s="17"/>
      <c r="E4" s="20" t="s">
        <v>6</v>
      </c>
      <c r="F4" s="31"/>
      <c r="G4" s="31"/>
      <c r="H4" s="17" t="s">
        <v>4</v>
      </c>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c r="IW4" s="17"/>
      <c r="IX4" s="17"/>
    </row>
    <row r="5" spans="1:258" ht="30" customHeight="1" thickBot="1" x14ac:dyDescent="0.2">
      <c r="A5" s="1"/>
      <c r="B5" s="1"/>
      <c r="C5" s="24" t="s">
        <v>20</v>
      </c>
      <c r="D5" s="1"/>
      <c r="E5" s="25">
        <v>45992</v>
      </c>
      <c r="F5" s="32"/>
      <c r="G5" s="32"/>
      <c r="H5" s="26">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1"/>
      <c r="F6" s="32"/>
      <c r="G6" s="32"/>
      <c r="H6" s="2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0" customFormat="1" ht="35" customHeight="1" thickBot="1" x14ac:dyDescent="0.2">
      <c r="A7" s="9"/>
      <c r="B7" s="22"/>
      <c r="C7" s="22" t="s">
        <v>12</v>
      </c>
      <c r="D7" s="22" t="s">
        <v>10</v>
      </c>
      <c r="E7" s="22" t="s">
        <v>13</v>
      </c>
      <c r="F7" s="33" t="s">
        <v>7</v>
      </c>
      <c r="G7" s="34" t="s">
        <v>6</v>
      </c>
      <c r="H7" s="28" t="s">
        <v>11</v>
      </c>
      <c r="I7" s="22" t="s">
        <v>9</v>
      </c>
      <c r="J7" s="9"/>
      <c r="K7" s="1"/>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row>
    <row r="8" spans="1:258" s="50" customFormat="1" ht="25" customHeight="1" x14ac:dyDescent="0.15">
      <c r="A8" s="43"/>
      <c r="B8" s="57"/>
      <c r="C8" s="58" t="s">
        <v>21</v>
      </c>
      <c r="D8" s="23"/>
      <c r="E8" s="23"/>
      <c r="F8" s="59">
        <f>MIN(F9:F13)</f>
        <v>45978</v>
      </c>
      <c r="G8" s="60">
        <f>MAX(G9:G13)</f>
        <v>45999</v>
      </c>
      <c r="H8" s="61">
        <f>IF(F8=0,0,G8-F8)+1</f>
        <v>22</v>
      </c>
      <c r="I8" s="23"/>
      <c r="J8" s="43"/>
      <c r="K8" s="1"/>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3"/>
      <c r="CX8" s="43"/>
      <c r="CY8" s="43"/>
      <c r="CZ8" s="43"/>
      <c r="DA8" s="43"/>
      <c r="DB8" s="43"/>
      <c r="DC8" s="43"/>
      <c r="DD8" s="43"/>
      <c r="DE8" s="43"/>
      <c r="DF8" s="43"/>
      <c r="DG8" s="43"/>
      <c r="DH8" s="43"/>
      <c r="DI8" s="43"/>
      <c r="DJ8" s="43"/>
      <c r="DK8" s="43"/>
      <c r="DL8" s="43"/>
      <c r="DM8" s="43"/>
      <c r="DN8" s="43"/>
      <c r="DO8" s="43"/>
      <c r="DP8" s="43"/>
      <c r="DQ8" s="43"/>
      <c r="DR8" s="43"/>
      <c r="DS8" s="43"/>
      <c r="DT8" s="43"/>
      <c r="DU8" s="43"/>
      <c r="DV8" s="43"/>
      <c r="DW8" s="43"/>
      <c r="DX8" s="43"/>
      <c r="DY8" s="43"/>
      <c r="DZ8" s="43"/>
      <c r="EA8" s="43"/>
      <c r="EB8" s="43"/>
      <c r="EC8" s="43"/>
      <c r="ED8" s="43"/>
      <c r="EE8" s="43"/>
      <c r="EF8" s="43"/>
      <c r="EG8" s="43"/>
      <c r="EH8" s="43"/>
      <c r="EI8" s="43"/>
      <c r="EJ8" s="43"/>
      <c r="EK8" s="43"/>
      <c r="EL8" s="43"/>
      <c r="EM8" s="43"/>
      <c r="EN8" s="43"/>
      <c r="EO8" s="43"/>
      <c r="EP8" s="43"/>
      <c r="EQ8" s="43"/>
      <c r="ER8" s="43"/>
      <c r="ES8" s="43"/>
      <c r="ET8" s="43"/>
      <c r="EU8" s="43"/>
      <c r="EV8" s="43"/>
      <c r="EW8" s="43"/>
      <c r="EX8" s="43"/>
      <c r="EY8" s="43"/>
      <c r="EZ8" s="43"/>
      <c r="FA8" s="43"/>
      <c r="FB8" s="43"/>
      <c r="FC8" s="43"/>
      <c r="FD8" s="43"/>
      <c r="FE8" s="43"/>
      <c r="FF8" s="43"/>
      <c r="FG8" s="43"/>
      <c r="FH8" s="43"/>
      <c r="FI8" s="43"/>
      <c r="FJ8" s="43"/>
      <c r="FK8" s="43"/>
      <c r="FL8" s="43"/>
      <c r="FM8" s="43"/>
      <c r="FN8" s="43"/>
      <c r="FO8" s="43"/>
      <c r="FP8" s="43"/>
      <c r="FQ8" s="43"/>
      <c r="FR8" s="43"/>
      <c r="FS8" s="43"/>
      <c r="FT8" s="43"/>
      <c r="FU8" s="43"/>
      <c r="FV8" s="43"/>
      <c r="FW8" s="43"/>
      <c r="FX8" s="43"/>
      <c r="FY8" s="43"/>
      <c r="FZ8" s="43"/>
      <c r="GA8" s="43"/>
      <c r="GB8" s="43"/>
      <c r="GC8" s="43"/>
      <c r="GD8" s="43"/>
      <c r="GE8" s="43"/>
      <c r="GF8" s="43"/>
      <c r="GG8" s="43"/>
      <c r="GH8" s="43"/>
      <c r="GI8" s="43"/>
      <c r="GJ8" s="43"/>
      <c r="GK8" s="43"/>
      <c r="GL8" s="43"/>
      <c r="GM8" s="43"/>
      <c r="GN8" s="43"/>
      <c r="GO8" s="43"/>
      <c r="GP8" s="43"/>
      <c r="GQ8" s="43"/>
      <c r="GR8" s="43"/>
      <c r="GS8" s="43"/>
      <c r="GT8" s="43"/>
      <c r="GU8" s="43"/>
      <c r="GV8" s="43"/>
      <c r="GW8" s="43"/>
      <c r="GX8" s="43"/>
      <c r="GY8" s="43"/>
      <c r="GZ8" s="43"/>
      <c r="HA8" s="43"/>
      <c r="HB8" s="43"/>
      <c r="HC8" s="43"/>
      <c r="HD8" s="43"/>
      <c r="HE8" s="43"/>
      <c r="HF8" s="43"/>
      <c r="HG8" s="43"/>
      <c r="HH8" s="43"/>
      <c r="HI8" s="43"/>
      <c r="HJ8" s="43"/>
      <c r="HK8" s="43"/>
      <c r="HL8" s="43"/>
      <c r="HM8" s="43"/>
      <c r="HN8" s="43"/>
      <c r="HO8" s="43"/>
      <c r="HP8" s="43"/>
      <c r="HQ8" s="43"/>
      <c r="HR8" s="43"/>
      <c r="HS8" s="43"/>
      <c r="HT8" s="43"/>
      <c r="HU8" s="43"/>
      <c r="HV8" s="43"/>
      <c r="HW8" s="43"/>
      <c r="HX8" s="43"/>
      <c r="HY8" s="43"/>
      <c r="HZ8" s="43"/>
      <c r="IA8" s="43"/>
      <c r="IB8" s="43"/>
      <c r="IC8" s="43"/>
      <c r="ID8" s="43"/>
      <c r="IE8" s="43"/>
      <c r="IF8" s="43"/>
      <c r="IG8" s="43"/>
      <c r="IH8" s="43"/>
      <c r="II8" s="43"/>
      <c r="IJ8" s="43"/>
      <c r="IK8" s="43"/>
      <c r="IL8" s="43"/>
      <c r="IM8" s="43"/>
      <c r="IN8" s="43"/>
      <c r="IO8" s="43"/>
      <c r="IP8" s="43"/>
      <c r="IQ8" s="43"/>
      <c r="IR8" s="43"/>
      <c r="IS8" s="43"/>
      <c r="IT8" s="43"/>
      <c r="IU8" s="43"/>
      <c r="IV8" s="43"/>
      <c r="IW8" s="43"/>
      <c r="IX8" s="43"/>
    </row>
    <row r="9" spans="1:258" s="8" customFormat="1" ht="16" outlineLevel="1" thickBot="1" x14ac:dyDescent="0.2">
      <c r="A9" s="7"/>
      <c r="B9" s="15" t="s">
        <v>36</v>
      </c>
      <c r="C9" s="13" t="s">
        <v>35</v>
      </c>
      <c r="D9" s="14" t="s">
        <v>0</v>
      </c>
      <c r="E9" s="16" t="s">
        <v>26</v>
      </c>
      <c r="F9" s="38">
        <v>45978</v>
      </c>
      <c r="G9" s="39">
        <v>45978</v>
      </c>
      <c r="H9" s="41">
        <f t="shared" ref="H9" si="0">IF(OR(F9=0, ISBLANK(F9)),0,G9-F9+1)</f>
        <v>1</v>
      </c>
      <c r="I9" s="15"/>
      <c r="J9" s="7"/>
      <c r="K9" s="1"/>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row>
    <row r="10" spans="1:258" s="8" customFormat="1" ht="57" outlineLevel="1" thickBot="1" x14ac:dyDescent="0.2">
      <c r="A10" s="7"/>
      <c r="B10" s="15" t="s">
        <v>37</v>
      </c>
      <c r="C10" s="13" t="s">
        <v>32</v>
      </c>
      <c r="D10" s="14" t="s">
        <v>0</v>
      </c>
      <c r="E10" s="16" t="s">
        <v>33</v>
      </c>
      <c r="F10" s="38">
        <v>45978</v>
      </c>
      <c r="G10" s="39">
        <v>45979</v>
      </c>
      <c r="H10" s="41">
        <f t="shared" ref="H10:H27" si="1">IF(OR(F10=0, ISBLANK(F10)),0,G10-F10+1)</f>
        <v>2</v>
      </c>
      <c r="I10" s="15"/>
      <c r="J10" s="7"/>
      <c r="K10" s="1"/>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row>
    <row r="11" spans="1:258" s="8" customFormat="1" ht="169" outlineLevel="1" thickBot="1" x14ac:dyDescent="0.2">
      <c r="A11" s="7"/>
      <c r="B11" s="15" t="s">
        <v>39</v>
      </c>
      <c r="C11" s="13" t="s">
        <v>34</v>
      </c>
      <c r="D11" s="14" t="s">
        <v>0</v>
      </c>
      <c r="E11" s="16" t="s">
        <v>38</v>
      </c>
      <c r="F11" s="38">
        <v>45985</v>
      </c>
      <c r="G11" s="39">
        <v>45985</v>
      </c>
      <c r="H11" s="41">
        <f t="shared" si="1"/>
        <v>1</v>
      </c>
      <c r="I11" s="15"/>
      <c r="J11" s="7"/>
      <c r="K11" s="1"/>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row>
    <row r="12" spans="1:258" s="8" customFormat="1" ht="25" customHeight="1" outlineLevel="1" thickBot="1" x14ac:dyDescent="0.2">
      <c r="A12" s="7"/>
      <c r="B12" s="15"/>
      <c r="C12" s="13" t="s">
        <v>15</v>
      </c>
      <c r="D12" s="14" t="s">
        <v>3</v>
      </c>
      <c r="E12" s="16"/>
      <c r="F12" s="38">
        <v>45983</v>
      </c>
      <c r="G12" s="39">
        <v>45999</v>
      </c>
      <c r="H12" s="41">
        <f t="shared" si="1"/>
        <v>17</v>
      </c>
      <c r="I12" s="15"/>
      <c r="J12" s="7"/>
      <c r="K12" s="1"/>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row>
    <row r="13" spans="1:258" s="8" customFormat="1" ht="25" customHeight="1" outlineLevel="1" thickBot="1" x14ac:dyDescent="0.2">
      <c r="A13" s="7"/>
      <c r="B13" s="15"/>
      <c r="C13" s="13" t="s">
        <v>14</v>
      </c>
      <c r="D13" s="14" t="s">
        <v>3</v>
      </c>
      <c r="E13" s="16"/>
      <c r="F13" s="38">
        <v>45992</v>
      </c>
      <c r="G13" s="39">
        <v>45992</v>
      </c>
      <c r="H13" s="41">
        <f t="shared" si="1"/>
        <v>1</v>
      </c>
      <c r="I13" s="15"/>
      <c r="J13" s="7"/>
      <c r="K13" s="1"/>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row>
    <row r="14" spans="1:258" s="50" customFormat="1" ht="25" customHeight="1" x14ac:dyDescent="0.15">
      <c r="A14" s="43"/>
      <c r="B14" s="51"/>
      <c r="C14" s="51" t="s">
        <v>22</v>
      </c>
      <c r="D14" s="52"/>
      <c r="E14" s="53"/>
      <c r="F14" s="54">
        <f>MIN(F15:F19)</f>
        <v>45983</v>
      </c>
      <c r="G14" s="55">
        <f>MAX(G15:G19)</f>
        <v>45999</v>
      </c>
      <c r="H14" s="70">
        <f t="shared" si="1"/>
        <v>17</v>
      </c>
      <c r="I14" s="56"/>
      <c r="J14" s="43"/>
      <c r="K14" s="1"/>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3"/>
      <c r="CX14" s="43"/>
      <c r="CY14" s="43"/>
      <c r="CZ14" s="43"/>
      <c r="DA14" s="43"/>
      <c r="DB14" s="43"/>
      <c r="DC14" s="43"/>
      <c r="DD14" s="43"/>
      <c r="DE14" s="43"/>
      <c r="DF14" s="43"/>
      <c r="DG14" s="43"/>
      <c r="DH14" s="43"/>
      <c r="DI14" s="43"/>
      <c r="DJ14" s="43"/>
      <c r="DK14" s="43"/>
      <c r="DL14" s="43"/>
      <c r="DM14" s="43"/>
      <c r="DN14" s="43"/>
      <c r="DO14" s="43"/>
      <c r="DP14" s="43"/>
      <c r="DQ14" s="43"/>
      <c r="DR14" s="43"/>
      <c r="DS14" s="43"/>
      <c r="DT14" s="43"/>
      <c r="DU14" s="43"/>
      <c r="DV14" s="43"/>
      <c r="DW14" s="43"/>
      <c r="DX14" s="43"/>
      <c r="DY14" s="43"/>
      <c r="DZ14" s="43"/>
      <c r="EA14" s="43"/>
      <c r="EB14" s="43"/>
      <c r="EC14" s="43"/>
      <c r="ED14" s="43"/>
      <c r="EE14" s="43"/>
      <c r="EF14" s="43"/>
      <c r="EG14" s="43"/>
      <c r="EH14" s="43"/>
      <c r="EI14" s="43"/>
      <c r="EJ14" s="43"/>
      <c r="EK14" s="43"/>
      <c r="EL14" s="43"/>
      <c r="EM14" s="43"/>
      <c r="EN14" s="43"/>
      <c r="EO14" s="43"/>
      <c r="EP14" s="43"/>
      <c r="EQ14" s="43"/>
      <c r="ER14" s="43"/>
      <c r="ES14" s="43"/>
      <c r="ET14" s="43"/>
      <c r="EU14" s="43"/>
      <c r="EV14" s="43"/>
      <c r="EW14" s="43"/>
      <c r="EX14" s="43"/>
      <c r="EY14" s="43"/>
      <c r="EZ14" s="43"/>
      <c r="FA14" s="43"/>
      <c r="FB14" s="43"/>
      <c r="FC14" s="43"/>
      <c r="FD14" s="43"/>
      <c r="FE14" s="43"/>
      <c r="FF14" s="43"/>
      <c r="FG14" s="43"/>
      <c r="FH14" s="43"/>
      <c r="FI14" s="43"/>
      <c r="FJ14" s="43"/>
      <c r="FK14" s="43"/>
      <c r="FL14" s="43"/>
      <c r="FM14" s="43"/>
      <c r="FN14" s="43"/>
      <c r="FO14" s="43"/>
      <c r="FP14" s="43"/>
      <c r="FQ14" s="43"/>
      <c r="FR14" s="43"/>
      <c r="FS14" s="43"/>
      <c r="FT14" s="43"/>
      <c r="FU14" s="43"/>
      <c r="FV14" s="43"/>
      <c r="FW14" s="43"/>
      <c r="FX14" s="43"/>
      <c r="FY14" s="43"/>
      <c r="FZ14" s="43"/>
      <c r="GA14" s="43"/>
      <c r="GB14" s="43"/>
      <c r="GC14" s="43"/>
      <c r="GD14" s="43"/>
      <c r="GE14" s="43"/>
      <c r="GF14" s="43"/>
      <c r="GG14" s="43"/>
      <c r="GH14" s="43"/>
      <c r="GI14" s="43"/>
      <c r="GJ14" s="43"/>
      <c r="GK14" s="43"/>
      <c r="GL14" s="43"/>
      <c r="GM14" s="43"/>
      <c r="GN14" s="43"/>
      <c r="GO14" s="43"/>
      <c r="GP14" s="43"/>
      <c r="GQ14" s="43"/>
      <c r="GR14" s="43"/>
      <c r="GS14" s="43"/>
      <c r="GT14" s="43"/>
      <c r="GU14" s="43"/>
      <c r="GV14" s="43"/>
      <c r="GW14" s="43"/>
      <c r="GX14" s="43"/>
      <c r="GY14" s="43"/>
      <c r="GZ14" s="43"/>
      <c r="HA14" s="43"/>
      <c r="HB14" s="43"/>
      <c r="HC14" s="43"/>
      <c r="HD14" s="43"/>
      <c r="HE14" s="43"/>
      <c r="HF14" s="43"/>
      <c r="HG14" s="43"/>
      <c r="HH14" s="43"/>
      <c r="HI14" s="43"/>
      <c r="HJ14" s="43"/>
      <c r="HK14" s="43"/>
      <c r="HL14" s="43"/>
      <c r="HM14" s="43"/>
      <c r="HN14" s="43"/>
      <c r="HO14" s="43"/>
      <c r="HP14" s="43"/>
      <c r="HQ14" s="43"/>
      <c r="HR14" s="43"/>
      <c r="HS14" s="43"/>
      <c r="HT14" s="43"/>
      <c r="HU14" s="43"/>
      <c r="HV14" s="43"/>
      <c r="HW14" s="43"/>
      <c r="HX14" s="43"/>
      <c r="HY14" s="43"/>
      <c r="HZ14" s="43"/>
      <c r="IA14" s="43"/>
      <c r="IB14" s="43"/>
      <c r="IC14" s="43"/>
      <c r="ID14" s="43"/>
      <c r="IE14" s="43"/>
      <c r="IF14" s="43"/>
      <c r="IG14" s="43"/>
      <c r="IH14" s="43"/>
      <c r="II14" s="43"/>
      <c r="IJ14" s="43"/>
      <c r="IK14" s="43"/>
      <c r="IL14" s="43"/>
      <c r="IM14" s="43"/>
      <c r="IN14" s="43"/>
      <c r="IO14" s="43"/>
      <c r="IP14" s="43"/>
      <c r="IQ14" s="43"/>
      <c r="IR14" s="43"/>
      <c r="IS14" s="43"/>
      <c r="IT14" s="43"/>
      <c r="IU14" s="43"/>
      <c r="IV14" s="43"/>
      <c r="IW14" s="43"/>
      <c r="IX14" s="43"/>
    </row>
    <row r="15" spans="1:258" s="8" customFormat="1" ht="42" outlineLevel="1" x14ac:dyDescent="0.15">
      <c r="A15" s="7"/>
      <c r="B15" s="2" t="s">
        <v>61</v>
      </c>
      <c r="C15" s="13" t="s">
        <v>47</v>
      </c>
      <c r="D15" s="3" t="s">
        <v>0</v>
      </c>
      <c r="E15" s="74" t="s">
        <v>48</v>
      </c>
      <c r="F15" s="36">
        <v>45983</v>
      </c>
      <c r="G15" s="36">
        <v>45991</v>
      </c>
      <c r="H15" s="42"/>
      <c r="I15" s="72"/>
      <c r="J15" s="7"/>
      <c r="K15" s="1"/>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row>
    <row r="16" spans="1:258" s="8" customFormat="1" ht="25" customHeight="1" outlineLevel="1" x14ac:dyDescent="0.15">
      <c r="A16" s="7"/>
      <c r="B16" s="2" t="s">
        <v>60</v>
      </c>
      <c r="C16" s="13" t="s">
        <v>49</v>
      </c>
      <c r="D16" s="3" t="s">
        <v>0</v>
      </c>
      <c r="E16" s="74" t="s">
        <v>50</v>
      </c>
      <c r="F16" s="36">
        <v>45989</v>
      </c>
      <c r="G16" s="36">
        <v>45992</v>
      </c>
      <c r="H16" s="42"/>
      <c r="I16" s="2"/>
      <c r="J16" s="7"/>
      <c r="K16" s="1"/>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row>
    <row r="17" spans="1:258" s="8" customFormat="1" ht="42" outlineLevel="1" x14ac:dyDescent="0.15">
      <c r="A17" s="7"/>
      <c r="B17" s="2"/>
      <c r="D17" s="3"/>
      <c r="E17" s="12"/>
      <c r="F17" s="36"/>
      <c r="G17" s="36"/>
      <c r="H17" s="42"/>
      <c r="I17" s="72" t="s">
        <v>76</v>
      </c>
      <c r="J17" s="7"/>
      <c r="K17" s="1"/>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row>
    <row r="18" spans="1:258" s="8" customFormat="1" ht="25" customHeight="1" outlineLevel="1" x14ac:dyDescent="0.15">
      <c r="A18" s="7"/>
      <c r="B18" s="2"/>
      <c r="C18" s="13" t="s">
        <v>15</v>
      </c>
      <c r="D18" s="3" t="s">
        <v>3</v>
      </c>
      <c r="E18" s="12"/>
      <c r="F18" s="36">
        <v>45983</v>
      </c>
      <c r="G18" s="36">
        <v>45999</v>
      </c>
      <c r="H18" s="42">
        <f t="shared" si="1"/>
        <v>17</v>
      </c>
      <c r="I18" s="2"/>
      <c r="J18" s="7"/>
      <c r="K18" s="1"/>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row>
    <row r="19" spans="1:258" s="8" customFormat="1" ht="25" customHeight="1" outlineLevel="1" thickBot="1" x14ac:dyDescent="0.2">
      <c r="A19" s="7"/>
      <c r="B19" s="2"/>
      <c r="C19" s="13" t="s">
        <v>14</v>
      </c>
      <c r="D19" s="14" t="s">
        <v>3</v>
      </c>
      <c r="E19" s="16"/>
      <c r="F19" s="38">
        <v>45992</v>
      </c>
      <c r="G19" s="39">
        <v>45992</v>
      </c>
      <c r="H19" s="42">
        <f t="shared" si="1"/>
        <v>1</v>
      </c>
      <c r="I19" s="2"/>
      <c r="J19" s="7"/>
      <c r="K19" s="1"/>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row>
    <row r="20" spans="1:258" s="50" customFormat="1" ht="25" customHeight="1" x14ac:dyDescent="0.15">
      <c r="A20" s="43"/>
      <c r="B20" s="44"/>
      <c r="C20" s="44" t="s">
        <v>23</v>
      </c>
      <c r="D20" s="45"/>
      <c r="E20" s="46"/>
      <c r="F20" s="47">
        <f>MIN(F21:F26)</f>
        <v>45983</v>
      </c>
      <c r="G20" s="48">
        <f>MAX(G21:G26)</f>
        <v>45999</v>
      </c>
      <c r="H20" s="69">
        <f t="shared" si="1"/>
        <v>17</v>
      </c>
      <c r="I20" s="49"/>
      <c r="J20" s="43"/>
      <c r="K20" s="1"/>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43"/>
      <c r="BZ20" s="43"/>
      <c r="CA20" s="43"/>
      <c r="CB20" s="43"/>
      <c r="CC20" s="43"/>
      <c r="CD20" s="43"/>
      <c r="CE20" s="43"/>
      <c r="CF20" s="43"/>
      <c r="CG20" s="43"/>
      <c r="CH20" s="43"/>
      <c r="CI20" s="43"/>
      <c r="CJ20" s="43"/>
      <c r="CK20" s="43"/>
      <c r="CL20" s="43"/>
      <c r="CM20" s="43"/>
      <c r="CN20" s="43"/>
      <c r="CO20" s="43"/>
      <c r="CP20" s="43"/>
      <c r="CQ20" s="43"/>
      <c r="CR20" s="43"/>
      <c r="CS20" s="43"/>
      <c r="CT20" s="43"/>
      <c r="CU20" s="43"/>
      <c r="CV20" s="43"/>
      <c r="CW20" s="43"/>
      <c r="CX20" s="43"/>
      <c r="CY20" s="43"/>
      <c r="CZ20" s="43"/>
      <c r="DA20" s="43"/>
      <c r="DB20" s="43"/>
      <c r="DC20" s="43"/>
      <c r="DD20" s="43"/>
      <c r="DE20" s="43"/>
      <c r="DF20" s="43"/>
      <c r="DG20" s="43"/>
      <c r="DH20" s="43"/>
      <c r="DI20" s="43"/>
      <c r="DJ20" s="43"/>
      <c r="DK20" s="43"/>
      <c r="DL20" s="43"/>
      <c r="DM20" s="43"/>
      <c r="DN20" s="43"/>
      <c r="DO20" s="43"/>
      <c r="DP20" s="43"/>
      <c r="DQ20" s="43"/>
      <c r="DR20" s="43"/>
      <c r="DS20" s="43"/>
      <c r="DT20" s="43"/>
      <c r="DU20" s="43"/>
      <c r="DV20" s="43"/>
      <c r="DW20" s="43"/>
      <c r="DX20" s="43"/>
      <c r="DY20" s="43"/>
      <c r="DZ20" s="43"/>
      <c r="EA20" s="43"/>
      <c r="EB20" s="43"/>
      <c r="EC20" s="43"/>
      <c r="ED20" s="43"/>
      <c r="EE20" s="43"/>
      <c r="EF20" s="43"/>
      <c r="EG20" s="43"/>
      <c r="EH20" s="43"/>
      <c r="EI20" s="43"/>
      <c r="EJ20" s="43"/>
      <c r="EK20" s="43"/>
      <c r="EL20" s="43"/>
      <c r="EM20" s="43"/>
      <c r="EN20" s="43"/>
      <c r="EO20" s="43"/>
      <c r="EP20" s="43"/>
      <c r="EQ20" s="43"/>
      <c r="ER20" s="43"/>
      <c r="ES20" s="43"/>
      <c r="ET20" s="43"/>
      <c r="EU20" s="43"/>
      <c r="EV20" s="43"/>
      <c r="EW20" s="43"/>
      <c r="EX20" s="43"/>
      <c r="EY20" s="43"/>
      <c r="EZ20" s="43"/>
      <c r="FA20" s="43"/>
      <c r="FB20" s="43"/>
      <c r="FC20" s="43"/>
      <c r="FD20" s="43"/>
      <c r="FE20" s="43"/>
      <c r="FF20" s="43"/>
      <c r="FG20" s="43"/>
      <c r="FH20" s="43"/>
      <c r="FI20" s="43"/>
      <c r="FJ20" s="43"/>
      <c r="FK20" s="43"/>
      <c r="FL20" s="43"/>
      <c r="FM20" s="43"/>
      <c r="FN20" s="43"/>
      <c r="FO20" s="43"/>
      <c r="FP20" s="43"/>
      <c r="FQ20" s="43"/>
      <c r="FR20" s="43"/>
      <c r="FS20" s="43"/>
      <c r="FT20" s="43"/>
      <c r="FU20" s="43"/>
      <c r="FV20" s="43"/>
      <c r="FW20" s="43"/>
      <c r="FX20" s="43"/>
      <c r="FY20" s="43"/>
      <c r="FZ20" s="43"/>
      <c r="GA20" s="43"/>
      <c r="GB20" s="43"/>
      <c r="GC20" s="43"/>
      <c r="GD20" s="43"/>
      <c r="GE20" s="43"/>
      <c r="GF20" s="43"/>
      <c r="GG20" s="43"/>
      <c r="GH20" s="43"/>
      <c r="GI20" s="43"/>
      <c r="GJ20" s="43"/>
      <c r="GK20" s="43"/>
      <c r="GL20" s="43"/>
      <c r="GM20" s="43"/>
      <c r="GN20" s="43"/>
      <c r="GO20" s="43"/>
      <c r="GP20" s="43"/>
      <c r="GQ20" s="43"/>
      <c r="GR20" s="43"/>
      <c r="GS20" s="43"/>
      <c r="GT20" s="43"/>
      <c r="GU20" s="43"/>
      <c r="GV20" s="43"/>
      <c r="GW20" s="43"/>
      <c r="GX20" s="43"/>
      <c r="GY20" s="43"/>
      <c r="GZ20" s="43"/>
      <c r="HA20" s="43"/>
      <c r="HB20" s="43"/>
      <c r="HC20" s="43"/>
      <c r="HD20" s="43"/>
      <c r="HE20" s="43"/>
      <c r="HF20" s="43"/>
      <c r="HG20" s="43"/>
      <c r="HH20" s="43"/>
      <c r="HI20" s="43"/>
      <c r="HJ20" s="43"/>
      <c r="HK20" s="43"/>
      <c r="HL20" s="43"/>
      <c r="HM20" s="43"/>
      <c r="HN20" s="43"/>
      <c r="HO20" s="43"/>
      <c r="HP20" s="43"/>
      <c r="HQ20" s="43"/>
      <c r="HR20" s="43"/>
      <c r="HS20" s="43"/>
      <c r="HT20" s="43"/>
      <c r="HU20" s="43"/>
      <c r="HV20" s="43"/>
      <c r="HW20" s="43"/>
      <c r="HX20" s="43"/>
      <c r="HY20" s="43"/>
      <c r="HZ20" s="43"/>
      <c r="IA20" s="43"/>
      <c r="IB20" s="43"/>
      <c r="IC20" s="43"/>
      <c r="ID20" s="43"/>
      <c r="IE20" s="43"/>
      <c r="IF20" s="43"/>
      <c r="IG20" s="43"/>
      <c r="IH20" s="43"/>
      <c r="II20" s="43"/>
      <c r="IJ20" s="43"/>
      <c r="IK20" s="43"/>
      <c r="IL20" s="43"/>
      <c r="IM20" s="43"/>
      <c r="IN20" s="43"/>
      <c r="IO20" s="43"/>
      <c r="IP20" s="43"/>
      <c r="IQ20" s="43"/>
      <c r="IR20" s="43"/>
      <c r="IS20" s="43"/>
      <c r="IT20" s="43"/>
      <c r="IU20" s="43"/>
      <c r="IV20" s="43"/>
      <c r="IW20" s="43"/>
      <c r="IX20" s="43"/>
    </row>
    <row r="21" spans="1:258" s="8" customFormat="1" ht="56" outlineLevel="1" x14ac:dyDescent="0.15">
      <c r="A21" s="7"/>
      <c r="B21" s="2" t="s">
        <v>40</v>
      </c>
      <c r="C21" s="13" t="s">
        <v>27</v>
      </c>
      <c r="D21" s="3" t="s">
        <v>0</v>
      </c>
      <c r="E21" s="11" t="s">
        <v>41</v>
      </c>
      <c r="F21" s="36">
        <v>45992</v>
      </c>
      <c r="G21" s="37">
        <v>45992</v>
      </c>
      <c r="H21" s="71">
        <v>1</v>
      </c>
      <c r="I21" s="2"/>
      <c r="J21" s="7"/>
      <c r="K21" s="1"/>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row>
    <row r="22" spans="1:258" s="8" customFormat="1" ht="25" customHeight="1" outlineLevel="1" x14ac:dyDescent="0.15">
      <c r="A22" s="7"/>
      <c r="B22" s="2" t="s">
        <v>42</v>
      </c>
      <c r="C22" s="13" t="s">
        <v>28</v>
      </c>
      <c r="D22" s="3" t="s">
        <v>0</v>
      </c>
      <c r="E22" s="11" t="s">
        <v>31</v>
      </c>
      <c r="F22" s="36">
        <v>45992</v>
      </c>
      <c r="G22" s="36">
        <v>45992</v>
      </c>
      <c r="H22" s="71">
        <v>1</v>
      </c>
      <c r="I22" s="2"/>
      <c r="J22" s="7"/>
      <c r="K22" s="1"/>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row>
    <row r="23" spans="1:258" s="8" customFormat="1" ht="70" outlineLevel="1" x14ac:dyDescent="0.15">
      <c r="A23" s="7"/>
      <c r="B23" s="2" t="s">
        <v>43</v>
      </c>
      <c r="C23" s="13" t="s">
        <v>29</v>
      </c>
      <c r="D23" s="3" t="s">
        <v>0</v>
      </c>
      <c r="E23" s="11" t="s">
        <v>44</v>
      </c>
      <c r="F23" s="36">
        <v>45992</v>
      </c>
      <c r="G23" s="36">
        <v>45992</v>
      </c>
      <c r="H23" s="71">
        <v>1</v>
      </c>
      <c r="I23" s="2"/>
      <c r="J23" s="7"/>
      <c r="K23" s="1"/>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row>
    <row r="24" spans="1:258" s="8" customFormat="1" ht="56" outlineLevel="1" x14ac:dyDescent="0.15">
      <c r="A24" s="7"/>
      <c r="B24" s="2" t="s">
        <v>46</v>
      </c>
      <c r="C24" s="13" t="s">
        <v>30</v>
      </c>
      <c r="D24" s="3" t="s">
        <v>0</v>
      </c>
      <c r="E24" s="11" t="s">
        <v>45</v>
      </c>
      <c r="F24" s="36">
        <v>45992</v>
      </c>
      <c r="G24" s="36">
        <v>45992</v>
      </c>
      <c r="H24" s="71">
        <v>1</v>
      </c>
      <c r="I24" s="2"/>
      <c r="J24" s="7"/>
      <c r="K24" s="1"/>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row>
    <row r="25" spans="1:258" s="8" customFormat="1" ht="25" customHeight="1" outlineLevel="1" x14ac:dyDescent="0.15">
      <c r="A25" s="7"/>
      <c r="B25" s="2"/>
      <c r="C25" s="13" t="s">
        <v>15</v>
      </c>
      <c r="D25" s="3" t="s">
        <v>0</v>
      </c>
      <c r="E25" s="11"/>
      <c r="F25" s="36">
        <v>45983</v>
      </c>
      <c r="G25" s="36">
        <v>45999</v>
      </c>
      <c r="H25" s="71">
        <v>1</v>
      </c>
      <c r="I25" s="2"/>
      <c r="J25" s="7"/>
      <c r="K25" s="1"/>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row>
    <row r="26" spans="1:258" s="8" customFormat="1" ht="25" customHeight="1" outlineLevel="1" x14ac:dyDescent="0.15">
      <c r="A26" s="7"/>
      <c r="B26" s="2"/>
      <c r="C26" s="13" t="s">
        <v>14</v>
      </c>
      <c r="D26" s="3" t="s">
        <v>2</v>
      </c>
      <c r="E26" s="11"/>
      <c r="F26" s="36">
        <v>45992</v>
      </c>
      <c r="G26" s="36">
        <v>45992</v>
      </c>
      <c r="H26" s="71">
        <f t="shared" ref="H26" si="2">IF(OR(F26=0, ISBLANK(F26)),0,G26-F26+1)</f>
        <v>1</v>
      </c>
      <c r="I26" s="2"/>
      <c r="J26" s="7"/>
      <c r="K26" s="1"/>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row>
    <row r="27" spans="1:258" s="50" customFormat="1" ht="25" customHeight="1" x14ac:dyDescent="0.15">
      <c r="A27" s="43"/>
      <c r="B27" s="62"/>
      <c r="C27" s="62" t="s">
        <v>24</v>
      </c>
      <c r="D27" s="63"/>
      <c r="E27" s="64"/>
      <c r="F27" s="65">
        <f>MIN(F28:F37)</f>
        <v>45973</v>
      </c>
      <c r="G27" s="66">
        <f>MAX(G28:G37)</f>
        <v>45999</v>
      </c>
      <c r="H27" s="68">
        <f t="shared" si="1"/>
        <v>27</v>
      </c>
      <c r="I27" s="67"/>
      <c r="J27" s="43"/>
      <c r="K27" s="1"/>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c r="BZ27" s="43"/>
      <c r="CA27" s="43"/>
      <c r="CB27" s="43"/>
      <c r="CC27" s="43"/>
      <c r="CD27" s="43"/>
      <c r="CE27" s="43"/>
      <c r="CF27" s="43"/>
      <c r="CG27" s="43"/>
      <c r="CH27" s="43"/>
      <c r="CI27" s="43"/>
      <c r="CJ27" s="43"/>
      <c r="CK27" s="43"/>
      <c r="CL27" s="43"/>
      <c r="CM27" s="43"/>
      <c r="CN27" s="43"/>
      <c r="CO27" s="43"/>
      <c r="CP27" s="43"/>
      <c r="CQ27" s="43"/>
      <c r="CR27" s="43"/>
      <c r="CS27" s="43"/>
      <c r="CT27" s="43"/>
      <c r="CU27" s="43"/>
      <c r="CV27" s="43"/>
      <c r="CW27" s="43"/>
      <c r="CX27" s="43"/>
      <c r="CY27" s="43"/>
      <c r="CZ27" s="43"/>
      <c r="DA27" s="43"/>
      <c r="DB27" s="43"/>
      <c r="DC27" s="43"/>
      <c r="DD27" s="43"/>
      <c r="DE27" s="43"/>
      <c r="DF27" s="43"/>
      <c r="DG27" s="43"/>
      <c r="DH27" s="43"/>
      <c r="DI27" s="43"/>
      <c r="DJ27" s="43"/>
      <c r="DK27" s="43"/>
      <c r="DL27" s="43"/>
      <c r="DM27" s="43"/>
      <c r="DN27" s="43"/>
      <c r="DO27" s="43"/>
      <c r="DP27" s="43"/>
      <c r="DQ27" s="43"/>
      <c r="DR27" s="43"/>
      <c r="DS27" s="43"/>
      <c r="DT27" s="43"/>
      <c r="DU27" s="43"/>
      <c r="DV27" s="43"/>
      <c r="DW27" s="43"/>
      <c r="DX27" s="43"/>
      <c r="DY27" s="43"/>
      <c r="DZ27" s="43"/>
      <c r="EA27" s="43"/>
      <c r="EB27" s="43"/>
      <c r="EC27" s="43"/>
      <c r="ED27" s="43"/>
      <c r="EE27" s="43"/>
      <c r="EF27" s="43"/>
      <c r="EG27" s="43"/>
      <c r="EH27" s="43"/>
      <c r="EI27" s="43"/>
      <c r="EJ27" s="43"/>
      <c r="EK27" s="43"/>
      <c r="EL27" s="43"/>
      <c r="EM27" s="43"/>
      <c r="EN27" s="43"/>
      <c r="EO27" s="43"/>
      <c r="EP27" s="43"/>
      <c r="EQ27" s="43"/>
      <c r="ER27" s="43"/>
      <c r="ES27" s="43"/>
      <c r="ET27" s="43"/>
      <c r="EU27" s="43"/>
      <c r="EV27" s="43"/>
      <c r="EW27" s="43"/>
      <c r="EX27" s="43"/>
      <c r="EY27" s="43"/>
      <c r="EZ27" s="43"/>
      <c r="FA27" s="43"/>
      <c r="FB27" s="43"/>
      <c r="FC27" s="43"/>
      <c r="FD27" s="43"/>
      <c r="FE27" s="43"/>
      <c r="FF27" s="43"/>
      <c r="FG27" s="43"/>
      <c r="FH27" s="43"/>
      <c r="FI27" s="43"/>
      <c r="FJ27" s="43"/>
      <c r="FK27" s="43"/>
      <c r="FL27" s="43"/>
      <c r="FM27" s="43"/>
      <c r="FN27" s="43"/>
      <c r="FO27" s="43"/>
      <c r="FP27" s="43"/>
      <c r="FQ27" s="43"/>
      <c r="FR27" s="43"/>
      <c r="FS27" s="43"/>
      <c r="FT27" s="43"/>
      <c r="FU27" s="43"/>
      <c r="FV27" s="43"/>
      <c r="FW27" s="43"/>
      <c r="FX27" s="43"/>
      <c r="FY27" s="43"/>
      <c r="FZ27" s="43"/>
      <c r="GA27" s="43"/>
      <c r="GB27" s="43"/>
      <c r="GC27" s="43"/>
      <c r="GD27" s="43"/>
      <c r="GE27" s="43"/>
      <c r="GF27" s="43"/>
      <c r="GG27" s="43"/>
      <c r="GH27" s="43"/>
      <c r="GI27" s="43"/>
      <c r="GJ27" s="43"/>
      <c r="GK27" s="43"/>
      <c r="GL27" s="43"/>
      <c r="GM27" s="43"/>
      <c r="GN27" s="43"/>
      <c r="GO27" s="43"/>
      <c r="GP27" s="43"/>
      <c r="GQ27" s="43"/>
      <c r="GR27" s="43"/>
      <c r="GS27" s="43"/>
      <c r="GT27" s="43"/>
      <c r="GU27" s="43"/>
      <c r="GV27" s="43"/>
      <c r="GW27" s="43"/>
      <c r="GX27" s="43"/>
      <c r="GY27" s="43"/>
      <c r="GZ27" s="43"/>
      <c r="HA27" s="43"/>
      <c r="HB27" s="43"/>
      <c r="HC27" s="43"/>
      <c r="HD27" s="43"/>
      <c r="HE27" s="43"/>
      <c r="HF27" s="43"/>
      <c r="HG27" s="43"/>
      <c r="HH27" s="43"/>
      <c r="HI27" s="43"/>
      <c r="HJ27" s="43"/>
      <c r="HK27" s="43"/>
      <c r="HL27" s="43"/>
      <c r="HM27" s="43"/>
      <c r="HN27" s="43"/>
      <c r="HO27" s="43"/>
      <c r="HP27" s="43"/>
      <c r="HQ27" s="43"/>
      <c r="HR27" s="43"/>
      <c r="HS27" s="43"/>
      <c r="HT27" s="43"/>
      <c r="HU27" s="43"/>
      <c r="HV27" s="43"/>
      <c r="HW27" s="43"/>
      <c r="HX27" s="43"/>
      <c r="HY27" s="43"/>
      <c r="HZ27" s="43"/>
      <c r="IA27" s="43"/>
      <c r="IB27" s="43"/>
      <c r="IC27" s="43"/>
      <c r="ID27" s="43"/>
      <c r="IE27" s="43"/>
      <c r="IF27" s="43"/>
      <c r="IG27" s="43"/>
      <c r="IH27" s="43"/>
      <c r="II27" s="43"/>
      <c r="IJ27" s="43"/>
      <c r="IK27" s="43"/>
      <c r="IL27" s="43"/>
      <c r="IM27" s="43"/>
      <c r="IN27" s="43"/>
      <c r="IO27" s="43"/>
      <c r="IP27" s="43"/>
      <c r="IQ27" s="43"/>
      <c r="IR27" s="43"/>
      <c r="IS27" s="43"/>
      <c r="IT27" s="43"/>
      <c r="IU27" s="43"/>
      <c r="IV27" s="43"/>
      <c r="IW27" s="43"/>
      <c r="IX27" s="43"/>
    </row>
    <row r="28" spans="1:258" s="8" customFormat="1" ht="28" outlineLevel="1" x14ac:dyDescent="0.15">
      <c r="A28" s="7"/>
      <c r="B28" s="2" t="s">
        <v>62</v>
      </c>
      <c r="C28" s="13" t="s">
        <v>63</v>
      </c>
      <c r="D28" s="3" t="s">
        <v>0</v>
      </c>
      <c r="E28" s="12" t="s">
        <v>25</v>
      </c>
      <c r="F28" s="36">
        <v>45973</v>
      </c>
      <c r="G28" s="36">
        <v>45973</v>
      </c>
      <c r="H28" s="29">
        <v>1</v>
      </c>
      <c r="I28" s="72"/>
      <c r="J28" s="7"/>
      <c r="K28" s="1"/>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row>
    <row r="29" spans="1:258" s="8" customFormat="1" ht="25" customHeight="1" outlineLevel="1" x14ac:dyDescent="0.15">
      <c r="A29" s="7"/>
      <c r="B29" s="2" t="s">
        <v>64</v>
      </c>
      <c r="C29" s="13" t="s">
        <v>66</v>
      </c>
      <c r="D29" s="3" t="s">
        <v>0</v>
      </c>
      <c r="E29" s="12" t="s">
        <v>65</v>
      </c>
      <c r="F29" s="36">
        <v>45973</v>
      </c>
      <c r="G29" s="36">
        <v>45973</v>
      </c>
      <c r="H29" s="29">
        <v>1</v>
      </c>
      <c r="I29" s="2"/>
      <c r="J29" s="7"/>
      <c r="K29" s="1"/>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row>
    <row r="30" spans="1:258" s="8" customFormat="1" ht="25" customHeight="1" outlineLevel="1" x14ac:dyDescent="0.15">
      <c r="A30" s="7"/>
      <c r="B30" s="2" t="s">
        <v>67</v>
      </c>
      <c r="C30" s="13" t="s">
        <v>51</v>
      </c>
      <c r="D30" s="3" t="s">
        <v>0</v>
      </c>
      <c r="E30" s="12" t="s">
        <v>52</v>
      </c>
      <c r="F30" s="36">
        <v>45973</v>
      </c>
      <c r="G30" s="36">
        <v>45973</v>
      </c>
      <c r="H30" s="29">
        <v>1</v>
      </c>
      <c r="I30" s="2"/>
      <c r="J30" s="7"/>
      <c r="K30" s="1"/>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row>
    <row r="31" spans="1:258" s="8" customFormat="1" ht="25" customHeight="1" outlineLevel="1" x14ac:dyDescent="0.15">
      <c r="A31" s="7"/>
      <c r="B31" s="2" t="s">
        <v>68</v>
      </c>
      <c r="C31" s="13" t="s">
        <v>69</v>
      </c>
      <c r="D31" s="3" t="s">
        <v>0</v>
      </c>
      <c r="E31" s="12" t="s">
        <v>53</v>
      </c>
      <c r="F31" s="36">
        <v>45974</v>
      </c>
      <c r="G31" s="36">
        <v>45974</v>
      </c>
      <c r="H31" s="29">
        <v>1</v>
      </c>
      <c r="I31" s="2"/>
      <c r="J31" s="7"/>
      <c r="K31" s="1"/>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row>
    <row r="32" spans="1:258" s="8" customFormat="1" ht="25" customHeight="1" outlineLevel="1" x14ac:dyDescent="0.15">
      <c r="A32" s="7"/>
      <c r="B32" s="2" t="s">
        <v>71</v>
      </c>
      <c r="C32" s="13" t="s">
        <v>54</v>
      </c>
      <c r="D32" s="3" t="s">
        <v>0</v>
      </c>
      <c r="E32" s="12" t="s">
        <v>70</v>
      </c>
      <c r="F32" s="36">
        <v>45974</v>
      </c>
      <c r="G32" s="36">
        <v>45976</v>
      </c>
      <c r="H32" s="29">
        <v>2</v>
      </c>
      <c r="I32" s="2"/>
      <c r="J32" s="7"/>
      <c r="K32" s="1"/>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row>
    <row r="33" spans="1:258" s="8" customFormat="1" ht="25" customHeight="1" outlineLevel="1" x14ac:dyDescent="0.15">
      <c r="A33" s="7"/>
      <c r="B33" s="2" t="s">
        <v>72</v>
      </c>
      <c r="C33" s="13" t="s">
        <v>55</v>
      </c>
      <c r="D33" s="3" t="s">
        <v>0</v>
      </c>
      <c r="E33" s="12" t="s">
        <v>56</v>
      </c>
      <c r="F33" s="36">
        <v>45977</v>
      </c>
      <c r="G33" s="36">
        <v>45978</v>
      </c>
      <c r="H33" s="29">
        <v>2</v>
      </c>
      <c r="I33" s="2"/>
      <c r="J33" s="7"/>
      <c r="K33" s="1"/>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row>
    <row r="34" spans="1:258" s="8" customFormat="1" ht="25" customHeight="1" outlineLevel="1" x14ac:dyDescent="0.15">
      <c r="A34" s="7"/>
      <c r="B34" s="2" t="s">
        <v>73</v>
      </c>
      <c r="C34" s="13" t="s">
        <v>57</v>
      </c>
      <c r="D34" s="3" t="s">
        <v>0</v>
      </c>
      <c r="E34" s="12" t="s">
        <v>58</v>
      </c>
      <c r="F34" s="36">
        <v>45992</v>
      </c>
      <c r="G34" s="36">
        <v>45992</v>
      </c>
      <c r="H34" s="29">
        <v>1</v>
      </c>
      <c r="I34" s="2"/>
      <c r="J34" s="7"/>
      <c r="K34" s="1"/>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row>
    <row r="35" spans="1:258" s="8" customFormat="1" ht="70" customHeight="1" outlineLevel="1" x14ac:dyDescent="0.15">
      <c r="A35" s="7"/>
      <c r="B35" s="2" t="s">
        <v>75</v>
      </c>
      <c r="C35" s="13" t="s">
        <v>59</v>
      </c>
      <c r="D35" s="3" t="s">
        <v>0</v>
      </c>
      <c r="E35" s="12" t="s">
        <v>74</v>
      </c>
      <c r="F35" s="36">
        <v>45976</v>
      </c>
      <c r="G35" s="36">
        <v>45992</v>
      </c>
      <c r="H35" s="29">
        <v>18</v>
      </c>
      <c r="I35" s="2"/>
      <c r="J35" s="7"/>
      <c r="K35" s="1"/>
      <c r="L35" s="7"/>
      <c r="M35" s="7"/>
      <c r="N35" s="7"/>
      <c r="O35" s="7"/>
      <c r="P35" s="7"/>
      <c r="Q35" s="7"/>
      <c r="R35" s="7"/>
      <c r="S35" s="7"/>
      <c r="T35" s="7"/>
      <c r="U35" s="7"/>
      <c r="V35" s="7"/>
      <c r="W35" s="40"/>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row>
    <row r="36" spans="1:258" s="8" customFormat="1" ht="25" customHeight="1" outlineLevel="1" x14ac:dyDescent="0.15">
      <c r="A36" s="7"/>
      <c r="B36" s="2"/>
      <c r="C36" s="13" t="s">
        <v>15</v>
      </c>
      <c r="D36" s="3" t="s">
        <v>3</v>
      </c>
      <c r="E36" s="12"/>
      <c r="F36" s="36">
        <v>45983</v>
      </c>
      <c r="G36" s="36">
        <v>45999</v>
      </c>
      <c r="H36" s="29">
        <f t="shared" ref="H36:H37" si="3">IF(OR(F36=0, ISBLANK(F36)),0,G36-F36+1)</f>
        <v>17</v>
      </c>
      <c r="I36" s="2"/>
      <c r="J36" s="7"/>
      <c r="K36" s="1"/>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row>
    <row r="37" spans="1:258" s="8" customFormat="1" ht="25" customHeight="1" outlineLevel="1" thickBot="1" x14ac:dyDescent="0.2">
      <c r="A37" s="7"/>
      <c r="B37" s="15"/>
      <c r="C37" s="13" t="s">
        <v>14</v>
      </c>
      <c r="D37" s="14" t="s">
        <v>3</v>
      </c>
      <c r="E37" s="16"/>
      <c r="F37" s="38">
        <v>45992</v>
      </c>
      <c r="G37" s="39">
        <v>45992</v>
      </c>
      <c r="H37" s="73">
        <f t="shared" si="3"/>
        <v>1</v>
      </c>
      <c r="I37" s="15"/>
      <c r="J37" s="7"/>
      <c r="K37" s="1"/>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c r="IW37" s="7"/>
      <c r="IX37" s="7"/>
    </row>
    <row r="38" spans="1:258" ht="300" customHeight="1" x14ac:dyDescent="0.15">
      <c r="A38" s="1"/>
      <c r="B38" s="1"/>
      <c r="C38" s="1"/>
      <c r="D38" s="1"/>
      <c r="E38" s="1"/>
      <c r="F38" s="32"/>
      <c r="G38" s="32"/>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row>
    <row r="39" spans="1:258" ht="300" customHeight="1" x14ac:dyDescent="0.15">
      <c r="A39" s="1"/>
      <c r="B39" s="1"/>
      <c r="C39" s="1"/>
      <c r="D39" s="1"/>
      <c r="E39" s="1"/>
      <c r="F39" s="32"/>
      <c r="G39" s="32"/>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row>
    <row r="40" spans="1:258" x14ac:dyDescent="0.15">
      <c r="A40" s="1"/>
      <c r="B40" s="1"/>
      <c r="C40" s="1"/>
      <c r="D40" s="1"/>
      <c r="E40" s="1"/>
      <c r="F40" s="32"/>
      <c r="G40" s="32"/>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row>
    <row r="41" spans="1:258" x14ac:dyDescent="0.15">
      <c r="A41" s="1"/>
      <c r="B41" s="1"/>
      <c r="C41" s="1"/>
      <c r="D41" s="1"/>
      <c r="E41" s="1"/>
      <c r="F41" s="32"/>
      <c r="G41" s="32"/>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row>
    <row r="42" spans="1:258" x14ac:dyDescent="0.15">
      <c r="A42" s="1"/>
      <c r="B42" s="1"/>
      <c r="C42" s="1"/>
      <c r="D42" s="1"/>
      <c r="E42" s="1"/>
      <c r="F42" s="32"/>
      <c r="G42" s="32"/>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row>
    <row r="43" spans="1:258" x14ac:dyDescent="0.15">
      <c r="A43" s="1"/>
      <c r="B43" s="1"/>
      <c r="C43" s="1"/>
      <c r="D43" s="1"/>
      <c r="E43" s="1"/>
      <c r="F43" s="32"/>
      <c r="G43" s="32"/>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row>
    <row r="44" spans="1:258" x14ac:dyDescent="0.15">
      <c r="A44" s="1"/>
      <c r="B44" s="1"/>
      <c r="C44" s="1"/>
      <c r="D44" s="1"/>
      <c r="E44" s="1"/>
      <c r="F44" s="32"/>
      <c r="G44" s="32"/>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row>
    <row r="45" spans="1:258" x14ac:dyDescent="0.15">
      <c r="A45" s="1"/>
      <c r="B45" s="1"/>
      <c r="C45" s="1"/>
      <c r="D45" s="1"/>
      <c r="E45" s="1"/>
      <c r="F45" s="32"/>
      <c r="G45" s="32"/>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row>
    <row r="46" spans="1:258" x14ac:dyDescent="0.15">
      <c r="A46" s="1"/>
      <c r="B46" s="1"/>
      <c r="C46" s="1"/>
      <c r="D46" s="1"/>
      <c r="E46" s="1"/>
      <c r="F46" s="32"/>
      <c r="G46" s="32"/>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row>
    <row r="47" spans="1:258" x14ac:dyDescent="0.15">
      <c r="A47" s="1"/>
      <c r="B47" s="1"/>
      <c r="C47" s="1"/>
      <c r="D47" s="1"/>
      <c r="E47" s="1"/>
      <c r="F47" s="32"/>
      <c r="G47" s="32"/>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row>
    <row r="48" spans="1:258" x14ac:dyDescent="0.15">
      <c r="A48" s="1"/>
      <c r="B48" s="1"/>
      <c r="C48" s="1"/>
      <c r="D48" s="1"/>
      <c r="E48" s="1"/>
      <c r="F48" s="32"/>
      <c r="G48" s="32"/>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row>
    <row r="49" spans="1:258" x14ac:dyDescent="0.15">
      <c r="A49" s="1"/>
      <c r="B49" s="1"/>
      <c r="C49" s="1"/>
      <c r="D49" s="1"/>
      <c r="E49" s="1"/>
      <c r="F49" s="32"/>
      <c r="G49" s="32"/>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row>
    <row r="50" spans="1:258" x14ac:dyDescent="0.15">
      <c r="A50" s="1"/>
      <c r="B50" s="1"/>
      <c r="C50" s="1"/>
      <c r="D50" s="1"/>
      <c r="E50" s="1"/>
      <c r="F50" s="32"/>
      <c r="G50" s="32"/>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row>
    <row r="51" spans="1:258" x14ac:dyDescent="0.15">
      <c r="A51" s="1"/>
      <c r="B51" s="1"/>
      <c r="C51" s="1"/>
      <c r="D51" s="1"/>
      <c r="E51" s="1"/>
      <c r="F51" s="32"/>
      <c r="G51" s="32"/>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row>
    <row r="52" spans="1:258" x14ac:dyDescent="0.15">
      <c r="A52" s="1"/>
      <c r="B52" s="1"/>
      <c r="C52" s="1"/>
      <c r="D52" s="1"/>
      <c r="E52" s="1"/>
      <c r="F52" s="32"/>
      <c r="G52" s="32"/>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row>
    <row r="53" spans="1:258" x14ac:dyDescent="0.15">
      <c r="A53" s="1"/>
      <c r="B53" s="1"/>
      <c r="C53" s="1"/>
      <c r="D53" s="1"/>
      <c r="E53" s="1"/>
      <c r="F53" s="32"/>
      <c r="G53" s="32"/>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row>
    <row r="54" spans="1:258" x14ac:dyDescent="0.15">
      <c r="A54" s="1"/>
      <c r="B54" s="1"/>
      <c r="C54" s="1"/>
      <c r="D54" s="1"/>
      <c r="E54" s="1"/>
      <c r="F54" s="32"/>
      <c r="G54" s="32"/>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row>
    <row r="55" spans="1:258" x14ac:dyDescent="0.15">
      <c r="A55" s="1"/>
      <c r="B55" s="1"/>
      <c r="C55" s="1"/>
      <c r="D55" s="1"/>
      <c r="E55" s="1"/>
      <c r="F55" s="32"/>
      <c r="G55" s="32"/>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row>
    <row r="56" spans="1:258" x14ac:dyDescent="0.15">
      <c r="A56" s="1"/>
      <c r="B56" s="1"/>
      <c r="C56" s="1"/>
      <c r="D56" s="1"/>
      <c r="E56" s="1"/>
      <c r="F56" s="32"/>
      <c r="G56" s="32"/>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row>
    <row r="57" spans="1:258" x14ac:dyDescent="0.15">
      <c r="A57" s="1"/>
      <c r="B57" s="1"/>
      <c r="C57" s="1"/>
      <c r="D57" s="1"/>
      <c r="E57" s="1"/>
      <c r="F57" s="32"/>
      <c r="G57" s="32"/>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row>
    <row r="58" spans="1:258" x14ac:dyDescent="0.15">
      <c r="A58" s="1"/>
      <c r="B58" s="1"/>
      <c r="C58" s="1"/>
      <c r="D58" s="1"/>
      <c r="E58" s="1"/>
      <c r="F58" s="32"/>
      <c r="G58" s="32"/>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row>
    <row r="59" spans="1:258" x14ac:dyDescent="0.15">
      <c r="A59" s="1"/>
      <c r="B59" s="1"/>
      <c r="C59" s="1"/>
      <c r="D59" s="1"/>
      <c r="E59" s="1"/>
      <c r="F59" s="32"/>
      <c r="G59" s="32"/>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row>
    <row r="60" spans="1:258" x14ac:dyDescent="0.15">
      <c r="A60" s="1"/>
      <c r="B60" s="1"/>
      <c r="C60" s="1"/>
      <c r="D60" s="1"/>
      <c r="E60" s="1"/>
      <c r="F60" s="32"/>
      <c r="G60" s="32"/>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row>
    <row r="61" spans="1:258" x14ac:dyDescent="0.15">
      <c r="A61" s="1"/>
      <c r="B61" s="1"/>
      <c r="C61" s="1"/>
      <c r="D61" s="1"/>
      <c r="E61" s="1"/>
      <c r="F61" s="32"/>
      <c r="G61" s="32"/>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row>
    <row r="62" spans="1:258" x14ac:dyDescent="0.15">
      <c r="A62" s="1"/>
      <c r="B62" s="1"/>
      <c r="C62" s="1"/>
      <c r="D62" s="1"/>
      <c r="E62" s="1"/>
      <c r="F62" s="32"/>
      <c r="G62" s="32"/>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row>
    <row r="63" spans="1:258" x14ac:dyDescent="0.15">
      <c r="A63" s="1"/>
      <c r="B63" s="1"/>
      <c r="C63" s="1"/>
      <c r="D63" s="1"/>
      <c r="E63" s="1"/>
      <c r="F63" s="32"/>
      <c r="G63" s="32"/>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row>
    <row r="64" spans="1:258" x14ac:dyDescent="0.15">
      <c r="A64" s="1"/>
      <c r="B64" s="1"/>
      <c r="C64" s="1"/>
      <c r="D64" s="1"/>
      <c r="E64" s="1"/>
      <c r="F64" s="32"/>
      <c r="G64" s="32"/>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x14ac:dyDescent="0.15">
      <c r="A65" s="1"/>
      <c r="B65" s="1"/>
      <c r="C65" s="1"/>
      <c r="D65" s="1"/>
      <c r="E65" s="1"/>
      <c r="F65" s="32"/>
      <c r="G65" s="32"/>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2"/>
      <c r="G66" s="32"/>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2"/>
      <c r="G67" s="32"/>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2"/>
      <c r="G68" s="32"/>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2"/>
      <c r="G69" s="32"/>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2"/>
      <c r="G70" s="32"/>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2"/>
      <c r="G71" s="32"/>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2"/>
      <c r="G72" s="32"/>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2"/>
      <c r="G73" s="32"/>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2"/>
      <c r="G74" s="32"/>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2"/>
      <c r="G75" s="32"/>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2"/>
      <c r="G76" s="32"/>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2"/>
      <c r="G77" s="32"/>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2"/>
      <c r="G78" s="32"/>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2"/>
      <c r="G79" s="32"/>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2"/>
      <c r="G80" s="32"/>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2"/>
      <c r="G81" s="32"/>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2"/>
      <c r="G82" s="32"/>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2"/>
      <c r="G83" s="32"/>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2"/>
      <c r="G84" s="32"/>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2"/>
      <c r="G85" s="32"/>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2"/>
      <c r="G86" s="32"/>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2"/>
      <c r="G87" s="32"/>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2"/>
      <c r="G88" s="32"/>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2"/>
      <c r="G89" s="32"/>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2"/>
      <c r="G90" s="32"/>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2"/>
      <c r="G91" s="32"/>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2"/>
      <c r="G92" s="32"/>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2"/>
      <c r="G93" s="32"/>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2"/>
      <c r="G94" s="32"/>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2"/>
      <c r="G95" s="32"/>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2"/>
      <c r="G96" s="32"/>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2"/>
      <c r="G97" s="32"/>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2"/>
      <c r="G98" s="32"/>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2"/>
      <c r="G99" s="32"/>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2"/>
      <c r="G100" s="32"/>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2"/>
      <c r="G101" s="32"/>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2"/>
      <c r="G102" s="32"/>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2"/>
      <c r="G103" s="32"/>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2"/>
      <c r="G104" s="32"/>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2"/>
      <c r="G105" s="32"/>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2"/>
      <c r="G106" s="32"/>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2"/>
      <c r="G107" s="32"/>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2"/>
      <c r="G108" s="32"/>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2"/>
      <c r="G109" s="32"/>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2"/>
      <c r="G110" s="32"/>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2"/>
      <c r="G111" s="32"/>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2"/>
      <c r="G112" s="32"/>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2"/>
      <c r="G113" s="32"/>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2"/>
      <c r="G114" s="32"/>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2"/>
      <c r="G115" s="32"/>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2"/>
      <c r="G116" s="32"/>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2"/>
      <c r="G117" s="32"/>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2"/>
      <c r="G118" s="32"/>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2"/>
      <c r="G119" s="32"/>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2"/>
      <c r="G120" s="32"/>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2"/>
      <c r="G121" s="32"/>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2"/>
      <c r="G122" s="32"/>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2"/>
      <c r="G123" s="32"/>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2"/>
      <c r="G124" s="32"/>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2"/>
      <c r="G125" s="32"/>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2"/>
      <c r="G126" s="32"/>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2"/>
      <c r="G127" s="32"/>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2"/>
      <c r="G128" s="32"/>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2"/>
      <c r="G129" s="32"/>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2"/>
      <c r="G130" s="32"/>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2"/>
      <c r="G131" s="32"/>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2"/>
      <c r="G132" s="32"/>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2"/>
      <c r="G133" s="32"/>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2"/>
      <c r="G134" s="32"/>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2"/>
      <c r="G135" s="32"/>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2"/>
      <c r="G136" s="32"/>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2"/>
      <c r="G137" s="32"/>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2"/>
      <c r="G138" s="32"/>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2"/>
      <c r="G139" s="32"/>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2"/>
      <c r="G140" s="32"/>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2"/>
      <c r="G141" s="32"/>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2"/>
      <c r="G142" s="32"/>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2"/>
      <c r="G143" s="32"/>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2"/>
      <c r="G144" s="32"/>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2"/>
      <c r="G145" s="32"/>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2"/>
      <c r="G146" s="32"/>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2"/>
      <c r="G147" s="32"/>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2"/>
      <c r="G148" s="32"/>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2"/>
      <c r="G149" s="32"/>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2"/>
      <c r="G150" s="32"/>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2"/>
      <c r="G151" s="32"/>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2"/>
      <c r="G152" s="32"/>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2"/>
      <c r="G153" s="32"/>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2"/>
      <c r="G154" s="32"/>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2"/>
      <c r="G155" s="32"/>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2"/>
      <c r="G156" s="32"/>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2"/>
      <c r="G157" s="32"/>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2"/>
      <c r="G158" s="32"/>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2"/>
      <c r="G159" s="32"/>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2"/>
      <c r="G160" s="32"/>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2"/>
      <c r="G161" s="32"/>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2"/>
      <c r="G162" s="32"/>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2"/>
      <c r="G163" s="32"/>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2"/>
      <c r="G164" s="32"/>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2"/>
      <c r="G165" s="32"/>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2"/>
      <c r="G166" s="32"/>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2"/>
      <c r="G167" s="32"/>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2"/>
      <c r="G168" s="32"/>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2"/>
      <c r="G169" s="32"/>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2"/>
      <c r="G170" s="32"/>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2"/>
      <c r="G171" s="32"/>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2"/>
      <c r="G172" s="32"/>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2"/>
      <c r="G173" s="32"/>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2"/>
      <c r="G174" s="32"/>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2"/>
      <c r="G175" s="32"/>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2"/>
      <c r="G176" s="32"/>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2"/>
      <c r="G177" s="32"/>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2"/>
      <c r="G178" s="32"/>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2"/>
      <c r="G179" s="32"/>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2"/>
      <c r="G180" s="32"/>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2"/>
      <c r="G181" s="32"/>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2"/>
      <c r="G182" s="32"/>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2"/>
      <c r="G183" s="32"/>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2"/>
      <c r="G184" s="32"/>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2"/>
      <c r="G185" s="32"/>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2"/>
      <c r="G186" s="32"/>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2"/>
      <c r="G187" s="32"/>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2"/>
      <c r="G188" s="32"/>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2"/>
      <c r="G189" s="32"/>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2"/>
      <c r="G190" s="32"/>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2"/>
      <c r="G191" s="32"/>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2"/>
      <c r="G192" s="32"/>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2"/>
      <c r="G193" s="32"/>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2"/>
      <c r="G194" s="32"/>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2"/>
      <c r="G195" s="32"/>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2"/>
      <c r="G196" s="32"/>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2"/>
      <c r="G197" s="32"/>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2"/>
      <c r="G198" s="32"/>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2"/>
      <c r="G199" s="32"/>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2"/>
      <c r="G200" s="32"/>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2"/>
      <c r="G201" s="32"/>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2"/>
      <c r="G202" s="32"/>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2"/>
      <c r="G203" s="32"/>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2"/>
      <c r="G204" s="32"/>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2"/>
      <c r="G205" s="32"/>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2"/>
      <c r="G206" s="32"/>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2"/>
      <c r="G207" s="32"/>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2"/>
      <c r="G208" s="32"/>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2"/>
      <c r="G209" s="32"/>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2"/>
      <c r="G210" s="32"/>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2"/>
      <c r="G211" s="32"/>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2"/>
      <c r="G212" s="32"/>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2"/>
      <c r="G213" s="32"/>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2"/>
      <c r="G214" s="32"/>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2"/>
      <c r="G215" s="32"/>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2"/>
      <c r="G216" s="32"/>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2"/>
      <c r="G217" s="32"/>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2"/>
      <c r="G218" s="32"/>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2"/>
      <c r="G219" s="32"/>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2"/>
      <c r="G220" s="32"/>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2"/>
      <c r="G221" s="32"/>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2"/>
      <c r="G222" s="32"/>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2"/>
      <c r="G223" s="32"/>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2"/>
      <c r="G224" s="32"/>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2"/>
      <c r="G225" s="32"/>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2"/>
      <c r="G226" s="32"/>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2"/>
      <c r="G227" s="32"/>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2"/>
      <c r="G228" s="32"/>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2"/>
      <c r="G229" s="32"/>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2"/>
      <c r="G230" s="32"/>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2"/>
      <c r="G231" s="32"/>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2"/>
      <c r="G232" s="32"/>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2"/>
      <c r="G233" s="32"/>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2"/>
      <c r="G234" s="32"/>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2"/>
      <c r="G235" s="32"/>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2"/>
      <c r="G236" s="32"/>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2"/>
      <c r="G237" s="32"/>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2"/>
      <c r="G238" s="32"/>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2"/>
      <c r="G239" s="32"/>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2"/>
      <c r="G240" s="32"/>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2"/>
      <c r="G241" s="32"/>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2"/>
      <c r="G242" s="32"/>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2"/>
      <c r="G243" s="32"/>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2"/>
      <c r="G244" s="32"/>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2"/>
      <c r="G245" s="32"/>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2"/>
      <c r="G246" s="32"/>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2"/>
      <c r="G247" s="32"/>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2"/>
      <c r="G248" s="32"/>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2"/>
      <c r="G249" s="32"/>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2"/>
      <c r="G250" s="32"/>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2"/>
      <c r="G251" s="32"/>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2"/>
      <c r="G252" s="32"/>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2"/>
      <c r="G253" s="32"/>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2"/>
      <c r="G254" s="32"/>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2"/>
      <c r="G255" s="32"/>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2"/>
      <c r="G256" s="32"/>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2"/>
      <c r="G257" s="32"/>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2"/>
      <c r="G258" s="32"/>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2"/>
      <c r="G259" s="32"/>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2"/>
      <c r="G260" s="32"/>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2"/>
      <c r="G261" s="32"/>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2"/>
      <c r="G262" s="32"/>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2"/>
      <c r="G263" s="32"/>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2"/>
      <c r="G264" s="32"/>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2"/>
      <c r="G265" s="32"/>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2"/>
      <c r="G266" s="32"/>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2"/>
      <c r="G267" s="32"/>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2"/>
      <c r="G268" s="32"/>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2"/>
      <c r="G269" s="32"/>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2"/>
      <c r="G270" s="32"/>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2"/>
      <c r="G271" s="32"/>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2"/>
      <c r="G272" s="32"/>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2"/>
      <c r="G273" s="32"/>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2"/>
      <c r="G274" s="32"/>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2"/>
      <c r="G275" s="32"/>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2"/>
      <c r="G276" s="32"/>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2"/>
      <c r="G277" s="32"/>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2"/>
      <c r="G278" s="32"/>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2"/>
      <c r="G279" s="32"/>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2"/>
      <c r="G280" s="32"/>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2"/>
      <c r="G281" s="32"/>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2"/>
      <c r="G282" s="32"/>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2"/>
      <c r="G283" s="32"/>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2"/>
      <c r="G284" s="32"/>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2"/>
      <c r="G285" s="32"/>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2"/>
      <c r="G286" s="32"/>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2"/>
      <c r="G287" s="32"/>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2"/>
      <c r="G288" s="32"/>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2"/>
      <c r="G289" s="32"/>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2"/>
      <c r="G290" s="32"/>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2"/>
      <c r="G291" s="32"/>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2"/>
      <c r="G292" s="32"/>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2"/>
      <c r="G293" s="32"/>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2"/>
      <c r="G294" s="32"/>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2"/>
      <c r="G295" s="32"/>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2"/>
      <c r="G296" s="32"/>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2"/>
      <c r="G297" s="32"/>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2"/>
      <c r="G298" s="32"/>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2"/>
      <c r="G299" s="32"/>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2"/>
      <c r="G300" s="32"/>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2"/>
      <c r="G301" s="32"/>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2"/>
      <c r="G302" s="32"/>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2"/>
      <c r="G303" s="32"/>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2"/>
      <c r="G304" s="32"/>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2"/>
      <c r="G305" s="32"/>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2"/>
      <c r="G306" s="32"/>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2"/>
      <c r="G307" s="32"/>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2"/>
      <c r="G308" s="32"/>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2"/>
      <c r="G309" s="32"/>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2"/>
      <c r="G310" s="32"/>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2"/>
      <c r="G311" s="32"/>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2"/>
      <c r="G312" s="32"/>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2"/>
      <c r="G313" s="32"/>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2"/>
      <c r="G314" s="32"/>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2"/>
      <c r="G315" s="32"/>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2"/>
      <c r="G316" s="32"/>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2"/>
      <c r="G317" s="32"/>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2"/>
      <c r="G318" s="32"/>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2"/>
      <c r="G319" s="32"/>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2"/>
      <c r="G320" s="32"/>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2"/>
      <c r="G321" s="32"/>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2"/>
      <c r="G322" s="32"/>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2"/>
      <c r="G323" s="32"/>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2"/>
      <c r="G324" s="32"/>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2"/>
      <c r="G325" s="32"/>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2"/>
      <c r="G326" s="32"/>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2"/>
      <c r="G327" s="32"/>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2"/>
      <c r="G328" s="32"/>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2"/>
      <c r="G329" s="32"/>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2"/>
      <c r="G330" s="32"/>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2"/>
      <c r="G331" s="32"/>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2"/>
      <c r="G332" s="32"/>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2"/>
      <c r="G333" s="32"/>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2"/>
      <c r="G334" s="32"/>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2"/>
      <c r="G335" s="32"/>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2"/>
      <c r="G336" s="32"/>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2"/>
      <c r="G337" s="32"/>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2"/>
      <c r="G338" s="32"/>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2"/>
      <c r="G339" s="32"/>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2"/>
      <c r="G340" s="32"/>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2"/>
      <c r="G341" s="32"/>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2"/>
      <c r="G342" s="32"/>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2"/>
      <c r="G343" s="32"/>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2"/>
      <c r="G344" s="32"/>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2"/>
      <c r="G345" s="32"/>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2"/>
      <c r="G346" s="32"/>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2"/>
      <c r="G347" s="32"/>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2"/>
      <c r="G348" s="32"/>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2"/>
      <c r="G349" s="32"/>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2"/>
      <c r="G350" s="32"/>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2"/>
      <c r="G351" s="32"/>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2"/>
      <c r="G352" s="32"/>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2"/>
      <c r="G353" s="32"/>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2"/>
      <c r="G354" s="32"/>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2"/>
      <c r="G355" s="32"/>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2"/>
      <c r="G356" s="32"/>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2"/>
      <c r="G357" s="32"/>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2"/>
      <c r="G358" s="32"/>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2"/>
      <c r="G359" s="32"/>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2"/>
      <c r="G360" s="32"/>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2"/>
      <c r="G361" s="32"/>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2"/>
      <c r="G362" s="32"/>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2"/>
      <c r="G363" s="32"/>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2"/>
      <c r="G364" s="32"/>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2"/>
      <c r="G365" s="32"/>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2"/>
      <c r="G366" s="32"/>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2"/>
      <c r="G367" s="32"/>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2"/>
      <c r="G368" s="32"/>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2"/>
      <c r="G369" s="32"/>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2"/>
      <c r="G370" s="32"/>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2"/>
      <c r="G371" s="32"/>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2"/>
      <c r="G372" s="32"/>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2"/>
      <c r="G373" s="32"/>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2"/>
      <c r="G374" s="32"/>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2"/>
      <c r="G375" s="32"/>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2"/>
      <c r="G376" s="32"/>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2"/>
      <c r="G377" s="32"/>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2"/>
      <c r="G378" s="32"/>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2"/>
      <c r="G379" s="32"/>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2"/>
      <c r="G380" s="32"/>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2"/>
      <c r="G381" s="32"/>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2"/>
      <c r="G382" s="32"/>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2"/>
      <c r="G383" s="32"/>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2"/>
      <c r="G384" s="32"/>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82" x14ac:dyDescent="0.15">
      <c r="A385" s="1"/>
      <c r="B385" s="1"/>
      <c r="C385" s="1"/>
      <c r="D385" s="1"/>
      <c r="E385" s="1"/>
      <c r="F385" s="32"/>
      <c r="G385" s="32"/>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82" x14ac:dyDescent="0.15">
      <c r="A386" s="1"/>
      <c r="B386" s="1"/>
      <c r="C386" s="1"/>
      <c r="D386" s="1"/>
      <c r="E386" s="1"/>
      <c r="F386" s="32"/>
      <c r="G386" s="32"/>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82" x14ac:dyDescent="0.15">
      <c r="A387" s="1"/>
      <c r="B387" s="1"/>
      <c r="C387" s="1"/>
      <c r="D387" s="1"/>
      <c r="E387" s="1"/>
      <c r="F387" s="32"/>
      <c r="G387" s="32"/>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82" x14ac:dyDescent="0.15">
      <c r="A388" s="1"/>
      <c r="B388" s="1"/>
      <c r="C388" s="1"/>
      <c r="D388" s="1"/>
      <c r="E388" s="1"/>
      <c r="F388" s="32"/>
      <c r="G388" s="32"/>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82" x14ac:dyDescent="0.15">
      <c r="A389" s="1"/>
      <c r="B389" s="1"/>
      <c r="C389" s="1"/>
      <c r="D389" s="1"/>
      <c r="E389" s="1"/>
      <c r="F389" s="32"/>
      <c r="G389" s="32"/>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82" x14ac:dyDescent="0.15">
      <c r="A390" s="1"/>
      <c r="B390" s="1"/>
      <c r="C390" s="1"/>
      <c r="D390" s="1"/>
      <c r="E390" s="1"/>
      <c r="F390" s="32"/>
      <c r="G390" s="32"/>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82" x14ac:dyDescent="0.15">
      <c r="A391" s="1"/>
      <c r="B391" s="1"/>
      <c r="C391" s="1"/>
      <c r="D391" s="1"/>
      <c r="E391" s="1"/>
      <c r="F391" s="32"/>
      <c r="G391" s="32"/>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82" x14ac:dyDescent="0.15">
      <c r="A392" s="1"/>
      <c r="B392" s="1"/>
      <c r="C392" s="1"/>
      <c r="D392" s="1"/>
      <c r="E392" s="1"/>
      <c r="F392" s="32"/>
      <c r="G392" s="32"/>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82" x14ac:dyDescent="0.15">
      <c r="A393" s="1"/>
      <c r="B393" s="1"/>
      <c r="C393" s="1"/>
      <c r="D393" s="1"/>
      <c r="E393" s="1"/>
      <c r="F393" s="32"/>
      <c r="G393" s="32"/>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82" x14ac:dyDescent="0.15">
      <c r="A394" s="1"/>
      <c r="B394" s="1"/>
      <c r="C394" s="1"/>
      <c r="D394" s="1"/>
      <c r="E394" s="1"/>
      <c r="F394" s="32"/>
      <c r="G394" s="32"/>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row>
    <row r="395" spans="1:282" x14ac:dyDescent="0.15">
      <c r="A395" s="1"/>
      <c r="B395" s="1"/>
      <c r="C395" s="1"/>
      <c r="D395" s="1"/>
      <c r="E395" s="1"/>
      <c r="F395" s="32"/>
      <c r="G395" s="32"/>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row>
    <row r="396" spans="1:282" x14ac:dyDescent="0.15">
      <c r="A396" s="1"/>
      <c r="B396" s="1"/>
      <c r="C396" s="1"/>
      <c r="D396" s="1"/>
      <c r="E396" s="1"/>
      <c r="F396" s="32"/>
      <c r="G396" s="32"/>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row>
    <row r="397" spans="1:282" x14ac:dyDescent="0.15">
      <c r="A397" s="1"/>
      <c r="B397" s="1"/>
      <c r="C397" s="1"/>
      <c r="D397" s="1"/>
      <c r="E397" s="1"/>
      <c r="F397" s="32"/>
      <c r="G397" s="32"/>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row>
    <row r="398" spans="1:282" x14ac:dyDescent="0.15">
      <c r="A398" s="1"/>
      <c r="B398" s="1"/>
      <c r="C398" s="1"/>
      <c r="D398" s="1"/>
      <c r="E398" s="1"/>
      <c r="F398" s="32"/>
      <c r="G398" s="32"/>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row>
    <row r="399" spans="1:282" x14ac:dyDescent="0.15">
      <c r="A399" s="1"/>
      <c r="B399" s="1"/>
      <c r="C399" s="1"/>
      <c r="D399" s="1"/>
      <c r="E399" s="1"/>
      <c r="F399" s="32"/>
      <c r="G399" s="32"/>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row>
    <row r="400" spans="1:282" x14ac:dyDescent="0.15">
      <c r="A400" s="1"/>
      <c r="B400" s="1"/>
      <c r="C400" s="1"/>
      <c r="D400" s="1"/>
      <c r="E400" s="1"/>
      <c r="F400" s="32"/>
      <c r="G400" s="32"/>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row>
    <row r="401" spans="1:282" x14ac:dyDescent="0.15">
      <c r="A401" s="1"/>
      <c r="B401" s="1"/>
      <c r="C401" s="1"/>
      <c r="D401" s="1"/>
      <c r="E401" s="1"/>
      <c r="F401" s="32"/>
      <c r="G401" s="32"/>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row>
    <row r="402" spans="1:282" x14ac:dyDescent="0.15">
      <c r="A402" s="1"/>
      <c r="B402" s="1"/>
      <c r="C402" s="1"/>
      <c r="D402" s="1"/>
      <c r="E402" s="1"/>
      <c r="F402" s="32"/>
      <c r="G402" s="32"/>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row>
    <row r="403" spans="1:282" x14ac:dyDescent="0.15">
      <c r="A403" s="1"/>
      <c r="B403" s="1"/>
      <c r="C403" s="1"/>
      <c r="D403" s="1"/>
      <c r="E403" s="1"/>
      <c r="F403" s="32"/>
      <c r="G403" s="32"/>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row>
    <row r="404" spans="1:282" x14ac:dyDescent="0.15">
      <c r="A404" s="1"/>
      <c r="B404" s="1"/>
      <c r="C404" s="1"/>
      <c r="D404" s="1"/>
      <c r="E404" s="1"/>
      <c r="F404" s="32"/>
      <c r="G404" s="32"/>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row>
    <row r="405" spans="1:282" x14ac:dyDescent="0.15">
      <c r="A405" s="1"/>
      <c r="B405" s="1"/>
      <c r="C405" s="1"/>
      <c r="D405" s="1"/>
      <c r="E405" s="1"/>
      <c r="F405" s="32"/>
      <c r="G405" s="32"/>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row>
    <row r="406" spans="1:282" x14ac:dyDescent="0.15">
      <c r="A406" s="1"/>
      <c r="B406" s="1"/>
      <c r="C406" s="1"/>
      <c r="D406" s="1"/>
      <c r="E406" s="1"/>
      <c r="F406" s="32"/>
      <c r="G406" s="32"/>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row>
    <row r="407" spans="1:282" x14ac:dyDescent="0.15">
      <c r="A407" s="1"/>
      <c r="B407" s="1"/>
      <c r="C407" s="1"/>
      <c r="D407" s="1"/>
      <c r="E407" s="1"/>
      <c r="F407" s="32"/>
      <c r="G407" s="32"/>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row>
    <row r="408" spans="1:282" x14ac:dyDescent="0.15">
      <c r="A408" s="1"/>
      <c r="B408" s="1"/>
      <c r="C408" s="1"/>
      <c r="D408" s="1"/>
      <c r="E408" s="1"/>
      <c r="F408" s="32"/>
      <c r="G408" s="32"/>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row>
    <row r="409" spans="1:282" x14ac:dyDescent="0.15">
      <c r="A409" s="1"/>
      <c r="B409" s="1"/>
      <c r="C409" s="1"/>
      <c r="D409" s="1"/>
      <c r="E409" s="1"/>
      <c r="F409" s="32"/>
      <c r="G409" s="32"/>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row>
    <row r="410" spans="1:282" x14ac:dyDescent="0.15">
      <c r="A410" s="1"/>
      <c r="B410" s="1"/>
      <c r="C410" s="1"/>
      <c r="D410" s="1"/>
      <c r="E410" s="1"/>
      <c r="F410" s="32"/>
      <c r="G410" s="32"/>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row>
    <row r="411" spans="1:282" x14ac:dyDescent="0.15">
      <c r="A411" s="1"/>
      <c r="B411" s="1"/>
      <c r="C411" s="1"/>
      <c r="D411" s="1"/>
      <c r="E411" s="1"/>
      <c r="F411" s="32"/>
      <c r="G411" s="32"/>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row>
    <row r="412" spans="1:282" x14ac:dyDescent="0.15">
      <c r="A412" s="1"/>
      <c r="B412" s="1"/>
      <c r="C412" s="1"/>
      <c r="D412" s="1"/>
      <c r="E412" s="1"/>
      <c r="F412" s="32"/>
      <c r="G412" s="32"/>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row>
    <row r="413" spans="1:282" x14ac:dyDescent="0.15">
      <c r="A413" s="1"/>
      <c r="B413" s="1"/>
      <c r="C413" s="1"/>
      <c r="D413" s="1"/>
      <c r="E413" s="1"/>
      <c r="F413" s="32"/>
      <c r="G413" s="32"/>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row>
    <row r="414" spans="1:282" x14ac:dyDescent="0.15">
      <c r="A414" s="1"/>
      <c r="B414" s="1"/>
      <c r="C414" s="1"/>
      <c r="D414" s="1"/>
      <c r="E414" s="1"/>
      <c r="F414" s="32"/>
      <c r="G414" s="32"/>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row>
    <row r="415" spans="1:282" x14ac:dyDescent="0.15">
      <c r="A415" s="1"/>
      <c r="B415" s="1"/>
      <c r="C415" s="1"/>
      <c r="D415" s="1"/>
      <c r="E415" s="1"/>
      <c r="F415" s="32"/>
      <c r="G415" s="32"/>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row>
    <row r="416" spans="1:282" x14ac:dyDescent="0.15">
      <c r="A416" s="1"/>
      <c r="B416" s="1"/>
      <c r="C416" s="1"/>
      <c r="D416" s="1"/>
      <c r="E416" s="1"/>
      <c r="F416" s="32"/>
      <c r="G416" s="32"/>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row>
    <row r="417" spans="1:282" x14ac:dyDescent="0.15">
      <c r="A417" s="1"/>
      <c r="B417" s="1"/>
      <c r="C417" s="1"/>
      <c r="D417" s="1"/>
      <c r="E417" s="1"/>
      <c r="F417" s="32"/>
      <c r="G417" s="32"/>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row>
    <row r="418" spans="1:282" x14ac:dyDescent="0.15">
      <c r="A418" s="1"/>
      <c r="B418" s="1"/>
      <c r="C418" s="1"/>
      <c r="D418" s="1"/>
      <c r="E418" s="1"/>
      <c r="F418" s="32"/>
      <c r="G418" s="32"/>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row>
    <row r="419" spans="1:282" x14ac:dyDescent="0.15">
      <c r="A419" s="1"/>
      <c r="B419" s="1"/>
      <c r="C419" s="1"/>
      <c r="D419" s="1"/>
      <c r="E419" s="1"/>
      <c r="F419" s="32"/>
      <c r="G419" s="32"/>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row>
    <row r="420" spans="1:282" x14ac:dyDescent="0.15">
      <c r="A420" s="1"/>
      <c r="B420" s="1"/>
      <c r="C420" s="1"/>
      <c r="D420" s="1"/>
      <c r="E420" s="1"/>
      <c r="F420" s="32"/>
      <c r="G420" s="32"/>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2"/>
      <c r="G421" s="32"/>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2"/>
      <c r="G422" s="32"/>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2"/>
      <c r="G423" s="32"/>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2"/>
      <c r="G424" s="32"/>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2"/>
      <c r="G425" s="32"/>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2"/>
      <c r="G426" s="32"/>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2"/>
      <c r="G427" s="32"/>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2"/>
      <c r="G428" s="32"/>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2"/>
      <c r="G429" s="32"/>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2"/>
      <c r="G430" s="32"/>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2"/>
      <c r="G431" s="32"/>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2"/>
      <c r="G432" s="32"/>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2"/>
      <c r="G433" s="32"/>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2"/>
      <c r="G434" s="32"/>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2"/>
      <c r="G435" s="32"/>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2"/>
      <c r="G436" s="32"/>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2"/>
      <c r="G437" s="32"/>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2"/>
      <c r="G438" s="32"/>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2"/>
      <c r="G439" s="32"/>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2"/>
      <c r="G440" s="32"/>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2"/>
      <c r="G441" s="32"/>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2"/>
      <c r="G442" s="32"/>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2"/>
      <c r="G443" s="32"/>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2"/>
      <c r="G444" s="32"/>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2"/>
      <c r="G445" s="32"/>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2"/>
      <c r="G446" s="32"/>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2"/>
      <c r="G447" s="32"/>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2"/>
      <c r="G448" s="32"/>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2"/>
      <c r="G449" s="32"/>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2"/>
      <c r="G450" s="32"/>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2"/>
      <c r="G451" s="32"/>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2"/>
      <c r="G452" s="32"/>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2"/>
      <c r="G453" s="32"/>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2"/>
      <c r="G454" s="32"/>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2"/>
      <c r="G455" s="32"/>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2"/>
      <c r="G456" s="32"/>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2"/>
      <c r="G457" s="32"/>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2"/>
      <c r="G458" s="32"/>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2"/>
      <c r="G459" s="32"/>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2"/>
      <c r="G460" s="32"/>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2"/>
      <c r="G461" s="32"/>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2"/>
      <c r="G462" s="32"/>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2"/>
      <c r="G463" s="32"/>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2"/>
      <c r="G464" s="32"/>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2"/>
      <c r="G465" s="32"/>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2"/>
      <c r="G466" s="32"/>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2"/>
      <c r="G467" s="32"/>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2"/>
      <c r="G468" s="32"/>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2"/>
      <c r="G469" s="32"/>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2"/>
      <c r="G470" s="32"/>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2"/>
      <c r="G471" s="32"/>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2"/>
      <c r="G472" s="32"/>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2"/>
      <c r="G473" s="32"/>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2"/>
      <c r="G474" s="32"/>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2"/>
      <c r="G475" s="32"/>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2"/>
      <c r="G476" s="32"/>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2"/>
      <c r="G477" s="32"/>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2"/>
      <c r="G478" s="32"/>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2"/>
      <c r="G479" s="32"/>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2"/>
      <c r="G480" s="32"/>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2"/>
      <c r="G481" s="32"/>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2"/>
      <c r="G482" s="32"/>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2"/>
      <c r="G483" s="32"/>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2"/>
      <c r="G484" s="32"/>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2"/>
      <c r="G485" s="32"/>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2"/>
      <c r="G486" s="32"/>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2"/>
      <c r="G487" s="32"/>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2"/>
      <c r="G488" s="32"/>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2"/>
      <c r="G489" s="32"/>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2"/>
      <c r="G490" s="32"/>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2"/>
      <c r="G491" s="32"/>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2"/>
      <c r="G492" s="32"/>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2"/>
      <c r="G493" s="32"/>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2"/>
      <c r="G494" s="32"/>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2"/>
      <c r="G495" s="32"/>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2"/>
      <c r="G496" s="32"/>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2"/>
      <c r="G497" s="32"/>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2"/>
      <c r="G498" s="32"/>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2"/>
      <c r="G499" s="32"/>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2"/>
      <c r="G500" s="32"/>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2"/>
      <c r="G501" s="32"/>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2"/>
      <c r="G502" s="32"/>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2"/>
      <c r="G503" s="32"/>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2"/>
      <c r="G504" s="32"/>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2"/>
      <c r="G505" s="32"/>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2"/>
      <c r="G506" s="32"/>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2"/>
      <c r="G507" s="32"/>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2"/>
      <c r="G508" s="32"/>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2"/>
      <c r="G509" s="32"/>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2"/>
      <c r="G510" s="32"/>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2"/>
      <c r="G511" s="32"/>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2"/>
      <c r="G512" s="32"/>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2"/>
      <c r="G513" s="32"/>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2"/>
      <c r="G514" s="32"/>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2"/>
      <c r="G515" s="32"/>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2"/>
      <c r="G516" s="32"/>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2"/>
      <c r="G517" s="32"/>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2"/>
      <c r="G518" s="32"/>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2"/>
      <c r="G519" s="32"/>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2"/>
      <c r="G520" s="32"/>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2"/>
      <c r="G521" s="32"/>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2"/>
      <c r="G522" s="32"/>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2"/>
      <c r="G523" s="32"/>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2"/>
      <c r="G524" s="32"/>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2"/>
      <c r="G525" s="32"/>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2"/>
      <c r="G526" s="32"/>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2"/>
      <c r="G527" s="32"/>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2"/>
      <c r="G528" s="32"/>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2"/>
      <c r="G529" s="32"/>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2"/>
      <c r="G530" s="32"/>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2"/>
      <c r="G531" s="32"/>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2"/>
      <c r="G532" s="32"/>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2"/>
      <c r="G533" s="32"/>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2"/>
      <c r="G534" s="32"/>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2"/>
      <c r="G535" s="32"/>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2"/>
      <c r="G536" s="32"/>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2"/>
      <c r="G537" s="32"/>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2"/>
      <c r="G538" s="32"/>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2"/>
      <c r="G539" s="32"/>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2"/>
      <c r="G540" s="32"/>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2"/>
      <c r="G541" s="32"/>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2"/>
      <c r="G542" s="32"/>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2"/>
      <c r="G543" s="32"/>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2"/>
      <c r="G544" s="32"/>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2"/>
      <c r="G545" s="32"/>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2"/>
      <c r="G546" s="32"/>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2"/>
      <c r="G547" s="32"/>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2"/>
      <c r="G548" s="32"/>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2"/>
      <c r="G549" s="32"/>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2"/>
      <c r="G550" s="32"/>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2"/>
      <c r="G551" s="32"/>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2"/>
      <c r="G552" s="32"/>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2"/>
      <c r="G553" s="32"/>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2"/>
      <c r="G554" s="32"/>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2"/>
      <c r="G555" s="32"/>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2"/>
      <c r="G556" s="32"/>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2"/>
      <c r="G557" s="32"/>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2"/>
      <c r="G558" s="32"/>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2"/>
      <c r="G559" s="32"/>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2"/>
      <c r="G560" s="32"/>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2"/>
      <c r="G561" s="32"/>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2"/>
      <c r="G562" s="32"/>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2"/>
      <c r="G563" s="32"/>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2"/>
      <c r="G564" s="32"/>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2"/>
      <c r="G565" s="32"/>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2"/>
      <c r="G566" s="32"/>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2"/>
      <c r="G567" s="32"/>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2"/>
      <c r="G568" s="32"/>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2"/>
      <c r="G569" s="32"/>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2"/>
      <c r="G570" s="32"/>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2"/>
      <c r="G571" s="32"/>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2"/>
      <c r="G572" s="32"/>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2"/>
      <c r="G573" s="32"/>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2"/>
      <c r="G574" s="32"/>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2"/>
      <c r="G575" s="32"/>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2"/>
      <c r="G576" s="32"/>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2"/>
      <c r="G577" s="32"/>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2"/>
      <c r="G578" s="32"/>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2"/>
      <c r="G579" s="32"/>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2"/>
      <c r="G580" s="32"/>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2"/>
      <c r="G581" s="32"/>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2"/>
      <c r="G582" s="32"/>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2"/>
      <c r="G583" s="32"/>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2"/>
      <c r="G584" s="32"/>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2"/>
      <c r="G585" s="32"/>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2"/>
      <c r="G586" s="32"/>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2"/>
      <c r="G587" s="32"/>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2"/>
      <c r="G588" s="32"/>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2"/>
      <c r="G589" s="32"/>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2"/>
      <c r="G590" s="32"/>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2"/>
      <c r="G591" s="32"/>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2"/>
      <c r="G592" s="32"/>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2"/>
      <c r="G593" s="32"/>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2"/>
      <c r="G594" s="32"/>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2"/>
      <c r="G595" s="32"/>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2"/>
      <c r="G596" s="32"/>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2"/>
      <c r="G597" s="32"/>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2"/>
      <c r="G598" s="32"/>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2"/>
      <c r="G599" s="32"/>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2"/>
      <c r="G600" s="32"/>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2"/>
      <c r="G601" s="32"/>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2"/>
      <c r="G602" s="32"/>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2"/>
      <c r="G603" s="32"/>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2"/>
      <c r="G604" s="32"/>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2"/>
      <c r="G605" s="32"/>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2"/>
      <c r="G606" s="32"/>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2"/>
      <c r="G607" s="32"/>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2"/>
      <c r="G608" s="32"/>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2"/>
      <c r="G609" s="32"/>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2"/>
      <c r="G610" s="32"/>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2"/>
      <c r="G611" s="32"/>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2"/>
      <c r="G612" s="32"/>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2"/>
      <c r="G613" s="32"/>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2"/>
      <c r="G614" s="32"/>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2"/>
      <c r="G615" s="32"/>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2"/>
      <c r="G616" s="32"/>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2"/>
      <c r="G617" s="32"/>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2"/>
      <c r="G618" s="32"/>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2"/>
      <c r="G619" s="32"/>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2"/>
      <c r="G620" s="32"/>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2"/>
      <c r="G621" s="32"/>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2"/>
      <c r="G622" s="32"/>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2"/>
      <c r="G623" s="32"/>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2"/>
      <c r="G624" s="32"/>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2"/>
      <c r="G625" s="32"/>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2"/>
      <c r="G626" s="32"/>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2"/>
      <c r="G627" s="32"/>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2"/>
      <c r="G628" s="32"/>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2"/>
      <c r="G629" s="32"/>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2"/>
      <c r="G630" s="32"/>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2"/>
      <c r="G631" s="32"/>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2"/>
      <c r="G632" s="32"/>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2"/>
      <c r="G633" s="32"/>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2"/>
      <c r="G634" s="32"/>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2"/>
      <c r="G635" s="32"/>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2"/>
      <c r="G636" s="32"/>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2"/>
      <c r="G637" s="32"/>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2"/>
      <c r="G638" s="32"/>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2"/>
      <c r="G639" s="32"/>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2"/>
      <c r="G640" s="32"/>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2"/>
      <c r="G641" s="32"/>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2"/>
      <c r="G642" s="32"/>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2"/>
      <c r="G643" s="32"/>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2"/>
      <c r="G644" s="32"/>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2"/>
      <c r="G645" s="32"/>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2"/>
      <c r="G646" s="32"/>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2"/>
      <c r="G647" s="32"/>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2"/>
      <c r="G648" s="32"/>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2"/>
      <c r="G649" s="32"/>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2"/>
      <c r="G650" s="32"/>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2"/>
      <c r="G651" s="32"/>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2"/>
      <c r="G652" s="32"/>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2"/>
      <c r="G653" s="32"/>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2"/>
      <c r="G654" s="32"/>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2"/>
      <c r="G655" s="32"/>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2"/>
      <c r="G656" s="32"/>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2"/>
      <c r="G657" s="32"/>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2"/>
      <c r="G658" s="32"/>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2"/>
      <c r="G659" s="32"/>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2"/>
      <c r="G660" s="32"/>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2"/>
      <c r="G661" s="32"/>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2"/>
      <c r="G662" s="32"/>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2"/>
      <c r="G663" s="32"/>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2"/>
      <c r="G664" s="32"/>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2"/>
      <c r="G665" s="32"/>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2"/>
      <c r="G666" s="32"/>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2"/>
      <c r="G667" s="32"/>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2"/>
      <c r="G668" s="32"/>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2"/>
      <c r="G669" s="32"/>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2"/>
      <c r="G670" s="32"/>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2"/>
      <c r="G671" s="32"/>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2"/>
      <c r="G672" s="32"/>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2"/>
      <c r="G673" s="32"/>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2"/>
      <c r="G674" s="32"/>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2"/>
      <c r="G675" s="32"/>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2"/>
      <c r="G676" s="32"/>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2"/>
      <c r="G677" s="32"/>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2"/>
      <c r="G678" s="32"/>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2"/>
      <c r="G679" s="32"/>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2"/>
      <c r="G680" s="32"/>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2"/>
      <c r="G681" s="32"/>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2"/>
      <c r="G682" s="32"/>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2"/>
      <c r="G683" s="32"/>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2"/>
      <c r="G684" s="32"/>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2"/>
      <c r="G685" s="32"/>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2"/>
      <c r="G686" s="32"/>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2"/>
      <c r="G687" s="32"/>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2"/>
      <c r="G688" s="32"/>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2"/>
      <c r="G689" s="32"/>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2"/>
      <c r="G690" s="32"/>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2"/>
      <c r="G691" s="32"/>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2"/>
      <c r="G692" s="32"/>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2"/>
      <c r="G693" s="32"/>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2"/>
      <c r="G694" s="32"/>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2"/>
      <c r="G695" s="32"/>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2"/>
      <c r="G696" s="32"/>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2"/>
      <c r="G697" s="32"/>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2"/>
      <c r="G698" s="32"/>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2"/>
      <c r="G699" s="32"/>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2"/>
      <c r="G700" s="32"/>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2"/>
      <c r="G701" s="32"/>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2"/>
      <c r="G702" s="32"/>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2"/>
      <c r="G703" s="32"/>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2"/>
      <c r="G704" s="32"/>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2"/>
      <c r="G705" s="32"/>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2"/>
      <c r="G706" s="32"/>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2"/>
      <c r="G707" s="32"/>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2"/>
      <c r="G708" s="32"/>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2"/>
      <c r="G709" s="32"/>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2"/>
      <c r="G710" s="32"/>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2"/>
      <c r="G711" s="32"/>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2"/>
      <c r="G712" s="32"/>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2"/>
      <c r="G713" s="32"/>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2"/>
      <c r="G714" s="32"/>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2"/>
      <c r="G715" s="32"/>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2"/>
      <c r="G716" s="32"/>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2"/>
      <c r="G717" s="32"/>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2"/>
      <c r="G718" s="32"/>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2"/>
      <c r="G719" s="32"/>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2"/>
      <c r="G720" s="32"/>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2"/>
      <c r="G721" s="32"/>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2"/>
      <c r="G722" s="32"/>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2"/>
      <c r="G723" s="32"/>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2"/>
      <c r="G724" s="32"/>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2"/>
      <c r="G725" s="32"/>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2"/>
      <c r="G726" s="32"/>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2"/>
      <c r="G727" s="32"/>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2"/>
      <c r="G728" s="32"/>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2"/>
      <c r="G729" s="32"/>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2"/>
      <c r="G730" s="32"/>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2"/>
      <c r="G731" s="32"/>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2"/>
      <c r="G732" s="32"/>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2"/>
      <c r="G733" s="32"/>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2"/>
      <c r="G734" s="32"/>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2"/>
      <c r="G735" s="32"/>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2"/>
      <c r="G736" s="32"/>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2"/>
      <c r="G737" s="32"/>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2"/>
      <c r="G738" s="32"/>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2"/>
      <c r="G739" s="32"/>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2"/>
      <c r="G740" s="32"/>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2"/>
      <c r="G741" s="32"/>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2"/>
      <c r="G742" s="32"/>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2"/>
      <c r="G743" s="32"/>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2"/>
      <c r="G744" s="32"/>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2"/>
      <c r="G745" s="32"/>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2"/>
      <c r="G746" s="32"/>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2"/>
      <c r="G747" s="32"/>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2"/>
      <c r="G748" s="32"/>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2"/>
      <c r="G749" s="32"/>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2"/>
      <c r="G750" s="32"/>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2"/>
      <c r="G751" s="32"/>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2"/>
      <c r="G752" s="32"/>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2"/>
      <c r="G753" s="32"/>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2"/>
      <c r="G754" s="32"/>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2"/>
      <c r="G755" s="32"/>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2"/>
      <c r="G756" s="32"/>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2"/>
      <c r="G757" s="32"/>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2"/>
      <c r="G758" s="32"/>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2"/>
      <c r="G759" s="32"/>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2"/>
      <c r="G760" s="32"/>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2"/>
      <c r="G761" s="32"/>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2"/>
      <c r="G762" s="32"/>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2"/>
      <c r="G763" s="32"/>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2"/>
      <c r="G764" s="32"/>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2"/>
      <c r="G765" s="32"/>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2"/>
      <c r="G766" s="32"/>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2"/>
      <c r="G767" s="32"/>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2"/>
      <c r="G768" s="32"/>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2"/>
      <c r="G769" s="32"/>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2"/>
      <c r="G770" s="32"/>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2"/>
      <c r="G771" s="32"/>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2"/>
      <c r="G772" s="32"/>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2"/>
      <c r="G773" s="32"/>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2"/>
      <c r="G774" s="32"/>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2"/>
      <c r="G775" s="32"/>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2"/>
      <c r="G776" s="32"/>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2"/>
      <c r="G777" s="32"/>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2"/>
      <c r="G778" s="32"/>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2"/>
      <c r="G779" s="32"/>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2"/>
      <c r="G780" s="32"/>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2"/>
      <c r="G781" s="32"/>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2"/>
      <c r="G782" s="32"/>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2"/>
      <c r="G783" s="32"/>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2"/>
      <c r="G784" s="32"/>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2"/>
      <c r="G785" s="32"/>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2"/>
      <c r="G786" s="32"/>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2"/>
      <c r="G787" s="32"/>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2"/>
      <c r="G788" s="32"/>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2"/>
      <c r="G789" s="32"/>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2"/>
      <c r="G790" s="32"/>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2"/>
      <c r="G791" s="32"/>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2"/>
      <c r="G792" s="32"/>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2"/>
      <c r="G793" s="32"/>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2"/>
      <c r="G794" s="32"/>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2"/>
      <c r="G795" s="32"/>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2"/>
      <c r="G796" s="32"/>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2"/>
      <c r="G797" s="32"/>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2"/>
      <c r="G798" s="32"/>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2"/>
      <c r="G799" s="32"/>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2"/>
      <c r="G800" s="32"/>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2"/>
      <c r="G801" s="32"/>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2"/>
      <c r="G802" s="32"/>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2"/>
      <c r="G803" s="32"/>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2"/>
      <c r="G804" s="32"/>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2"/>
      <c r="G805" s="32"/>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2"/>
      <c r="G806" s="32"/>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2"/>
      <c r="G807" s="32"/>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2"/>
      <c r="G808" s="32"/>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2"/>
      <c r="G809" s="32"/>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2"/>
      <c r="G810" s="32"/>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2"/>
      <c r="G811" s="32"/>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2"/>
      <c r="G812" s="32"/>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2"/>
      <c r="G813" s="32"/>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2"/>
      <c r="G814" s="32"/>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2"/>
      <c r="G815" s="32"/>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2"/>
      <c r="G816" s="32"/>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2"/>
      <c r="G817" s="32"/>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2"/>
      <c r="G818" s="32"/>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2"/>
      <c r="G819" s="32"/>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2"/>
      <c r="G820" s="32"/>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2"/>
      <c r="G821" s="32"/>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2"/>
      <c r="G822" s="32"/>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2"/>
      <c r="G823" s="32"/>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2"/>
      <c r="G824" s="32"/>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2"/>
      <c r="G825" s="32"/>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2"/>
      <c r="G826" s="32"/>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2"/>
      <c r="G827" s="32"/>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2"/>
      <c r="G828" s="32"/>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2"/>
      <c r="G829" s="32"/>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2"/>
      <c r="G830" s="32"/>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2"/>
      <c r="G831" s="32"/>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2"/>
      <c r="G832" s="32"/>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2"/>
      <c r="G833" s="32"/>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2"/>
      <c r="G834" s="32"/>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2"/>
      <c r="G835" s="32"/>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2"/>
      <c r="G836" s="32"/>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2"/>
      <c r="G837" s="32"/>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2"/>
      <c r="G838" s="32"/>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2"/>
      <c r="G839" s="32"/>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2"/>
      <c r="G840" s="32"/>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2"/>
      <c r="G841" s="32"/>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2"/>
      <c r="G842" s="32"/>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2"/>
      <c r="G843" s="32"/>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2"/>
      <c r="G844" s="32"/>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2"/>
      <c r="G845" s="32"/>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2"/>
      <c r="G846" s="32"/>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2"/>
      <c r="G847" s="32"/>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2"/>
      <c r="G848" s="32"/>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2"/>
      <c r="G849" s="32"/>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2"/>
      <c r="G850" s="32"/>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2"/>
      <c r="G851" s="32"/>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2"/>
      <c r="G852" s="32"/>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2"/>
      <c r="G853" s="32"/>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2"/>
      <c r="G854" s="32"/>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2"/>
      <c r="G855" s="32"/>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2"/>
      <c r="G856" s="32"/>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2"/>
      <c r="G857" s="32"/>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2"/>
      <c r="G858" s="32"/>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2"/>
      <c r="G859" s="32"/>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2"/>
      <c r="G860" s="32"/>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2"/>
      <c r="G861" s="32"/>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2"/>
      <c r="G862" s="32"/>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2"/>
      <c r="G863" s="32"/>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2"/>
      <c r="G864" s="32"/>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2"/>
      <c r="G865" s="32"/>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2"/>
      <c r="G866" s="32"/>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2"/>
      <c r="G867" s="32"/>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2"/>
      <c r="G868" s="32"/>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2"/>
      <c r="G869" s="32"/>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2"/>
      <c r="G870" s="32"/>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2"/>
      <c r="G871" s="32"/>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2"/>
      <c r="G872" s="32"/>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2"/>
      <c r="G873" s="32"/>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2"/>
      <c r="G874" s="32"/>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2"/>
      <c r="G875" s="32"/>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2"/>
      <c r="G876" s="32"/>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2"/>
      <c r="G877" s="32"/>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2"/>
      <c r="G878" s="32"/>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2"/>
      <c r="G879" s="32"/>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2"/>
      <c r="G880" s="32"/>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2"/>
      <c r="G881" s="32"/>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2"/>
      <c r="G882" s="32"/>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2"/>
      <c r="G883" s="32"/>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2"/>
      <c r="G884" s="32"/>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2"/>
      <c r="G885" s="32"/>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2"/>
      <c r="G886" s="32"/>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2"/>
      <c r="G887" s="32"/>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2"/>
      <c r="G888" s="32"/>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2"/>
      <c r="G889" s="32"/>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2"/>
      <c r="G890" s="32"/>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2"/>
      <c r="G891" s="32"/>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2"/>
      <c r="G892" s="32"/>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2"/>
      <c r="G893" s="32"/>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2"/>
      <c r="G894" s="32"/>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2"/>
      <c r="G895" s="32"/>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2"/>
      <c r="G896" s="32"/>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2"/>
      <c r="G897" s="32"/>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2"/>
      <c r="G898" s="32"/>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2"/>
      <c r="G899" s="32"/>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2"/>
      <c r="G900" s="32"/>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2"/>
      <c r="G901" s="32"/>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2"/>
      <c r="G902" s="32"/>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2"/>
      <c r="G903" s="32"/>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2"/>
      <c r="G904" s="32"/>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2"/>
      <c r="G905" s="32"/>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2"/>
      <c r="G906" s="32"/>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2"/>
      <c r="G907" s="32"/>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2"/>
      <c r="G908" s="32"/>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2"/>
      <c r="G909" s="32"/>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2"/>
      <c r="G910" s="32"/>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2"/>
      <c r="G911" s="32"/>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2"/>
      <c r="G912" s="32"/>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2"/>
      <c r="G913" s="32"/>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2"/>
      <c r="G914" s="32"/>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2"/>
      <c r="G915" s="32"/>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2"/>
      <c r="G916" s="32"/>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2"/>
      <c r="G917" s="32"/>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2"/>
      <c r="G918" s="32"/>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2"/>
      <c r="G919" s="32"/>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2"/>
      <c r="G920" s="32"/>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2"/>
      <c r="G921" s="32"/>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2"/>
      <c r="G922" s="32"/>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2"/>
      <c r="G923" s="32"/>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2"/>
      <c r="G924" s="32"/>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2"/>
      <c r="G925" s="32"/>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2"/>
      <c r="G926" s="32"/>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2"/>
      <c r="G927" s="32"/>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2"/>
      <c r="G928" s="32"/>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2"/>
      <c r="G929" s="32"/>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2"/>
      <c r="G930" s="32"/>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2"/>
      <c r="G931" s="32"/>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2"/>
      <c r="G932" s="32"/>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2"/>
      <c r="G933" s="32"/>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2"/>
      <c r="G934" s="32"/>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2"/>
      <c r="G935" s="32"/>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2"/>
      <c r="G936" s="32"/>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2"/>
      <c r="G937" s="32"/>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2"/>
      <c r="G938" s="32"/>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2"/>
      <c r="G939" s="32"/>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2"/>
      <c r="G940" s="32"/>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2"/>
      <c r="G941" s="32"/>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2"/>
      <c r="G942" s="32"/>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2"/>
      <c r="G943" s="32"/>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2"/>
      <c r="G944" s="32"/>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2"/>
      <c r="G945" s="32"/>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2"/>
      <c r="G946" s="32"/>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2"/>
      <c r="G947" s="32"/>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2"/>
      <c r="G948" s="32"/>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2"/>
      <c r="G949" s="32"/>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2"/>
      <c r="G950" s="32"/>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2"/>
      <c r="G951" s="32"/>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2"/>
      <c r="G952" s="32"/>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2"/>
      <c r="G953" s="32"/>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2"/>
      <c r="G954" s="32"/>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2"/>
      <c r="G955" s="32"/>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2"/>
      <c r="G956" s="32"/>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2"/>
      <c r="G957" s="32"/>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2"/>
      <c r="G958" s="32"/>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2"/>
      <c r="G959" s="32"/>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2"/>
      <c r="G960" s="32"/>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2"/>
      <c r="G961" s="32"/>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2"/>
      <c r="G962" s="32"/>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2"/>
      <c r="G963" s="32"/>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2"/>
      <c r="G964" s="32"/>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2"/>
      <c r="G965" s="32"/>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2"/>
      <c r="G966" s="32"/>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2"/>
      <c r="G967" s="32"/>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2"/>
      <c r="G968" s="32"/>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2"/>
      <c r="G969" s="32"/>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2"/>
      <c r="G970" s="32"/>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2"/>
      <c r="G971" s="32"/>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2"/>
      <c r="G972" s="32"/>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2"/>
      <c r="G973" s="32"/>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2"/>
      <c r="G974" s="32"/>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2"/>
      <c r="G975" s="32"/>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2"/>
      <c r="G976" s="32"/>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2"/>
      <c r="G977" s="32"/>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2"/>
      <c r="G978" s="32"/>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2"/>
      <c r="G979" s="32"/>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2"/>
      <c r="G980" s="32"/>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2"/>
      <c r="G981" s="32"/>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2"/>
      <c r="G982" s="32"/>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2"/>
      <c r="G983" s="32"/>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2"/>
      <c r="G984" s="32"/>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2"/>
      <c r="G985" s="32"/>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2"/>
      <c r="G986" s="32"/>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2"/>
      <c r="G987" s="32"/>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2"/>
      <c r="G988" s="32"/>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2"/>
      <c r="G989" s="32"/>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2"/>
      <c r="G990" s="32"/>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2"/>
      <c r="G991" s="32"/>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2"/>
      <c r="G992" s="32"/>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2"/>
      <c r="G993" s="32"/>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2"/>
      <c r="G994" s="32"/>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2"/>
      <c r="G995" s="32"/>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2"/>
      <c r="G996" s="32"/>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2"/>
      <c r="G997" s="32"/>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2"/>
      <c r="G998" s="32"/>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2"/>
      <c r="G999" s="32"/>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2"/>
      <c r="G1000" s="32"/>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2"/>
      <c r="G1001" s="32"/>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2"/>
      <c r="G1002" s="32"/>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2"/>
      <c r="G1003" s="32"/>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2"/>
      <c r="G1004" s="32"/>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2"/>
      <c r="G1005" s="32"/>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2"/>
      <c r="G1006" s="32"/>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2"/>
      <c r="G1007" s="32"/>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2"/>
      <c r="G1008" s="32"/>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2"/>
      <c r="G1009" s="32"/>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2"/>
      <c r="G1010" s="32"/>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2"/>
      <c r="G1011" s="32"/>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2"/>
      <c r="G1012" s="32"/>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2"/>
      <c r="G1013" s="32"/>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2"/>
      <c r="G1014" s="32"/>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2"/>
      <c r="G1015" s="32"/>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2"/>
      <c r="G1016" s="32"/>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2"/>
      <c r="G1017" s="32"/>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2"/>
      <c r="G1018" s="32"/>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2"/>
      <c r="G1019" s="32"/>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2"/>
      <c r="G1020" s="32"/>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2"/>
      <c r="G1021" s="32"/>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2"/>
      <c r="G1022" s="32"/>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2"/>
      <c r="G1023" s="32"/>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2"/>
      <c r="G1024" s="32"/>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2"/>
      <c r="G1025" s="32"/>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2"/>
      <c r="G1026" s="32"/>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2"/>
      <c r="G1027" s="32"/>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2"/>
      <c r="G1028" s="32"/>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2"/>
      <c r="G1029" s="32"/>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2"/>
      <c r="G1030" s="32"/>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2"/>
      <c r="G1031" s="32"/>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2"/>
      <c r="G1032" s="32"/>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2"/>
      <c r="G1033" s="32"/>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2"/>
      <c r="G1034" s="32"/>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2"/>
      <c r="G1035" s="32"/>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2"/>
      <c r="G1036" s="32"/>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2"/>
      <c r="G1037" s="32"/>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2"/>
      <c r="G1038" s="32"/>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2"/>
      <c r="G1039" s="32"/>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2"/>
      <c r="G1040" s="32"/>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2"/>
      <c r="G1041" s="32"/>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2"/>
      <c r="G1042" s="32"/>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2"/>
      <c r="G1043" s="32"/>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2"/>
      <c r="G1044" s="32"/>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2"/>
      <c r="G1045" s="32"/>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2"/>
      <c r="G1046" s="32"/>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2"/>
      <c r="G1047" s="32"/>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2"/>
      <c r="G1048" s="32"/>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2"/>
      <c r="G1049" s="32"/>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2"/>
      <c r="G1050" s="32"/>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2"/>
      <c r="G1051" s="32"/>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2"/>
      <c r="G1052" s="32"/>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2"/>
      <c r="G1053" s="32"/>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2"/>
      <c r="G1054" s="32"/>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2"/>
      <c r="G1055" s="32"/>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2"/>
      <c r="G1056" s="32"/>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2"/>
      <c r="G1057" s="32"/>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2"/>
      <c r="G1058" s="32"/>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2"/>
      <c r="G1059" s="32"/>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2"/>
      <c r="G1060" s="32"/>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2"/>
      <c r="G1061" s="32"/>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2"/>
      <c r="G1062" s="32"/>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2"/>
      <c r="G1063" s="32"/>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2"/>
      <c r="G1064" s="32"/>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2"/>
      <c r="G1065" s="32"/>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2"/>
      <c r="G1066" s="32"/>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2"/>
      <c r="G1067" s="32"/>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2"/>
      <c r="G1068" s="32"/>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2"/>
      <c r="G1069" s="32"/>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2"/>
      <c r="G1070" s="32"/>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2"/>
      <c r="G1071" s="32"/>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2"/>
      <c r="G1072" s="32"/>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2"/>
      <c r="G1073" s="32"/>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2"/>
      <c r="G1074" s="32"/>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2"/>
      <c r="G1075" s="32"/>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2"/>
      <c r="G1076" s="32"/>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2"/>
      <c r="G1077" s="32"/>
      <c r="H1077" s="1"/>
      <c r="I1077" s="1"/>
      <c r="J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2"/>
      <c r="G1078" s="32"/>
      <c r="H1078" s="1"/>
      <c r="I1078" s="1"/>
      <c r="J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2"/>
      <c r="G1079" s="32"/>
      <c r="H1079" s="1"/>
      <c r="I1079" s="1"/>
      <c r="J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2"/>
      <c r="G1080" s="32"/>
      <c r="H1080" s="1"/>
      <c r="I1080" s="1"/>
      <c r="J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2"/>
      <c r="G1081" s="32"/>
      <c r="H1081" s="1"/>
      <c r="I1081" s="1"/>
      <c r="J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2"/>
      <c r="G1082" s="32"/>
      <c r="H1082" s="1"/>
      <c r="I1082" s="1"/>
      <c r="J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2"/>
      <c r="G1083" s="32"/>
      <c r="H1083" s="1"/>
      <c r="I1083" s="1"/>
      <c r="J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sheetData>
  <phoneticPr fontId="3" type="noConversion"/>
  <conditionalFormatting sqref="D8:D14 D17:D37">
    <cfRule type="containsText" dxfId="7" priority="21" operator="containsText" text="On Hold">
      <formula>NOT(ISERROR(SEARCH("On Hold",D8)))</formula>
    </cfRule>
    <cfRule type="containsText" dxfId="6" priority="22" operator="containsText" text="Complete">
      <formula>NOT(ISERROR(SEARCH("Complete",D8)))</formula>
    </cfRule>
    <cfRule type="containsText" dxfId="5" priority="23" operator="containsText" text="In Progress">
      <formula>NOT(ISERROR(SEARCH("In Progress",D8)))</formula>
    </cfRule>
    <cfRule type="containsText" dxfId="4" priority="24" operator="containsText" text="Not Started">
      <formula>NOT(ISERROR(SEARCH("Not Started",D8)))</formula>
    </cfRule>
  </conditionalFormatting>
  <conditionalFormatting sqref="D15:D16">
    <cfRule type="containsText" dxfId="3" priority="5" operator="containsText" text="On Hold">
      <formula>NOT(ISERROR(SEARCH("On Hold",D15)))</formula>
    </cfRule>
    <cfRule type="containsText" dxfId="2" priority="6" operator="containsText" text="Complete">
      <formula>NOT(ISERROR(SEARCH("Complete",D15)))</formula>
    </cfRule>
    <cfRule type="containsText" dxfId="1" priority="7" operator="containsText" text="In Progress">
      <formula>NOT(ISERROR(SEARCH("In Progress",D15)))</formula>
    </cfRule>
    <cfRule type="containsText" dxfId="0" priority="8" operator="containsText" text="Not Started">
      <formula>NOT(ISERROR(SEARCH("Not Started",D15)))</formula>
    </cfRule>
  </conditionalFormatting>
  <dataValidations count="1">
    <dataValidation type="list" allowBlank="1" showInputMessage="1" showErrorMessage="1" sqref="D8:D27 D29:D34 D36:D37" xr:uid="{FAB73A35-6353-0041-8874-8B5EFE2E105A}">
      <formula1>$K$7:$K$7</formula1>
    </dataValidation>
  </dataValidations>
  <pageMargins left="0.3" right="0.3" top="0.3" bottom="0.3" header="0" footer="0"/>
  <pageSetup scale="7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5" customWidth="1"/>
    <col min="2" max="2" width="88.33203125" style="5" customWidth="1"/>
    <col min="3" max="16384" width="10.83203125" style="5"/>
  </cols>
  <sheetData>
    <row r="2" spans="2:2" ht="102" x14ac:dyDescent="0.2">
      <c r="B2" s="4" t="s">
        <v>1</v>
      </c>
    </row>
    <row r="4" spans="2:2" x14ac:dyDescent="0.2">
      <c r="B4" s="5" t="s">
        <v>16</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Wildfires</vt:lpstr>
      <vt:lpstr>-Disclaimer-</vt:lpstr>
      <vt:lpstr>Wildfires!Print_Area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2025-12-04T05:30:11Z</dcterms:modified>
</cp:coreProperties>
</file>